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36196ffac380e6e4/Desktop/data analyst/ecommerce project/"/>
    </mc:Choice>
  </mc:AlternateContent>
  <xr:revisionPtr revIDLastSave="0" documentId="8_{F1175E70-0095-4463-BA39-E8DC666E7859}" xr6:coauthVersionLast="47" xr6:coauthVersionMax="47" xr10:uidLastSave="{00000000-0000-0000-0000-000000000000}"/>
  <bookViews>
    <workbookView xWindow="-108" yWindow="-108" windowWidth="23256" windowHeight="12456" activeTab="1" xr2:uid="{217998DC-9EA7-44C1-A1B6-84C342F3AE83}"/>
  </bookViews>
  <sheets>
    <sheet name="SalesData" sheetId="1" r:id="rId1"/>
    <sheet name="DashBoard" sheetId="2" r:id="rId2"/>
    <sheet name="Pivot_city" sheetId="3" r:id="rId3"/>
    <sheet name="Pivot_month_year" sheetId="6" r:id="rId4"/>
    <sheet name="Pivots_sales rep_Performance" sheetId="12" r:id="rId5"/>
    <sheet name="Pivot_category_profit" sheetId="10" r:id="rId6"/>
  </sheets>
  <definedNames>
    <definedName name="Slicer_City">#N/A</definedName>
    <definedName name="Slicer_date_year">#N/A</definedName>
    <definedName name="Slicer_Quarter">#N/A</definedName>
    <definedName name="Slicer_Sales_Rep">#N/A</definedName>
  </definedNames>
  <calcPr calcId="0"/>
  <pivotCaches>
    <pivotCache cacheId="2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P37" i="1"/>
  <c r="P38" i="1"/>
  <c r="P51" i="1"/>
  <c r="P53" i="1"/>
  <c r="P65" i="1"/>
  <c r="P66" i="1"/>
  <c r="P81" i="1"/>
  <c r="P93" i="1"/>
  <c r="P94" i="1"/>
  <c r="P106" i="1"/>
  <c r="P108" i="1"/>
  <c r="P121" i="1"/>
  <c r="P122" i="1"/>
  <c r="P137" i="1"/>
  <c r="P148" i="1"/>
  <c r="P149" i="1"/>
  <c r="P163" i="1"/>
  <c r="P164" i="1"/>
  <c r="P177" i="1"/>
  <c r="P178" i="1"/>
  <c r="P204" i="1"/>
  <c r="P205" i="1"/>
  <c r="P219" i="1"/>
  <c r="P220" i="1"/>
  <c r="P233" i="1"/>
  <c r="P260" i="1"/>
  <c r="P261" i="1"/>
  <c r="P274" i="1"/>
  <c r="P275" i="1"/>
  <c r="P289" i="1"/>
  <c r="P315" i="1"/>
  <c r="P316" i="1"/>
  <c r="P330" i="1"/>
  <c r="P331" i="1"/>
  <c r="P346" i="1"/>
  <c r="P357" i="1"/>
  <c r="P358" i="1"/>
  <c r="P371" i="1"/>
  <c r="P373" i="1"/>
  <c r="P386" i="1"/>
  <c r="P387" i="1"/>
  <c r="P401" i="1"/>
  <c r="P413" i="1"/>
  <c r="P414" i="1"/>
  <c r="P428" i="1"/>
  <c r="P429" i="1"/>
  <c r="P441" i="1"/>
  <c r="P442" i="1"/>
  <c r="P457" i="1"/>
  <c r="P469" i="1"/>
  <c r="P470" i="1"/>
  <c r="P483" i="1"/>
  <c r="P484" i="1"/>
  <c r="P497" i="1"/>
  <c r="P498" i="1"/>
  <c r="P513" i="1"/>
  <c r="P524" i="1"/>
  <c r="P525" i="1"/>
  <c r="P539" i="1"/>
  <c r="P540" i="1"/>
  <c r="P553" i="1"/>
  <c r="P554" i="1"/>
  <c r="P580" i="1"/>
  <c r="P581" i="1"/>
  <c r="P595" i="1"/>
  <c r="P596" i="1"/>
  <c r="P609" i="1"/>
  <c r="P636" i="1"/>
  <c r="P638" i="1"/>
  <c r="P650" i="1"/>
  <c r="P651" i="1"/>
  <c r="P666" i="1"/>
  <c r="P690" i="1"/>
  <c r="P692" i="1"/>
  <c r="P704" i="1"/>
  <c r="P716" i="1"/>
  <c r="P717" i="1"/>
  <c r="P728" i="1"/>
  <c r="P740" i="1"/>
  <c r="P741" i="1"/>
  <c r="P752" i="1"/>
  <c r="P753" i="1"/>
  <c r="P764" i="1"/>
  <c r="P765" i="1"/>
  <c r="P776" i="1"/>
  <c r="P777" i="1"/>
  <c r="P788" i="1"/>
  <c r="P797" i="1"/>
  <c r="P798" i="1"/>
  <c r="P808" i="1"/>
  <c r="P809" i="1"/>
  <c r="P820" i="1"/>
  <c r="P829" i="1"/>
  <c r="P830" i="1"/>
  <c r="P840" i="1"/>
  <c r="P841" i="1"/>
  <c r="P852" i="1"/>
  <c r="P861" i="1"/>
  <c r="P862" i="1"/>
  <c r="P880" i="1"/>
  <c r="P888" i="1"/>
  <c r="P889" i="1"/>
  <c r="P897" i="1"/>
  <c r="P899" i="1"/>
  <c r="P908" i="1"/>
  <c r="P916" i="1"/>
  <c r="P917" i="1"/>
  <c r="P925" i="1"/>
  <c r="P926" i="1"/>
  <c r="P944" i="1"/>
  <c r="P952" i="1"/>
  <c r="P953" i="1"/>
  <c r="P961" i="1"/>
  <c r="P963" i="1"/>
  <c r="P972" i="1"/>
  <c r="P980" i="1"/>
  <c r="P981" i="1"/>
  <c r="P989" i="1"/>
  <c r="P990"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O3" i="1"/>
  <c r="O4" i="1"/>
  <c r="O5" i="1"/>
  <c r="O6" i="1"/>
  <c r="O7" i="1"/>
  <c r="O8" i="1"/>
  <c r="O9" i="1"/>
  <c r="O10" i="1"/>
  <c r="O11" i="1"/>
  <c r="O12" i="1"/>
  <c r="O13" i="1"/>
  <c r="O14" i="1"/>
  <c r="O15" i="1"/>
  <c r="O2"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P2" i="1" s="1"/>
  <c r="M3" i="1"/>
  <c r="P3" i="1" s="1"/>
  <c r="M4" i="1"/>
  <c r="P4" i="1" s="1"/>
  <c r="M5" i="1"/>
  <c r="P5" i="1" s="1"/>
  <c r="M6" i="1"/>
  <c r="P6" i="1" s="1"/>
  <c r="M7" i="1"/>
  <c r="P7" i="1" s="1"/>
  <c r="M8" i="1"/>
  <c r="P8" i="1" s="1"/>
  <c r="M9" i="1"/>
  <c r="P9" i="1" s="1"/>
  <c r="M10" i="1"/>
  <c r="P10" i="1" s="1"/>
  <c r="M11" i="1"/>
  <c r="P11" i="1" s="1"/>
  <c r="M12" i="1"/>
  <c r="P12" i="1" s="1"/>
  <c r="M13" i="1"/>
  <c r="P13" i="1" s="1"/>
  <c r="M14" i="1"/>
  <c r="P14" i="1" s="1"/>
  <c r="M15" i="1"/>
  <c r="P15" i="1" s="1"/>
  <c r="M16" i="1"/>
  <c r="P16" i="1" s="1"/>
  <c r="M17" i="1"/>
  <c r="P17" i="1" s="1"/>
  <c r="M18" i="1"/>
  <c r="P18" i="1" s="1"/>
  <c r="M19" i="1"/>
  <c r="P19" i="1" s="1"/>
  <c r="M20" i="1"/>
  <c r="P20" i="1" s="1"/>
  <c r="M21" i="1"/>
  <c r="P21" i="1" s="1"/>
  <c r="M22" i="1"/>
  <c r="P22" i="1" s="1"/>
  <c r="M23" i="1"/>
  <c r="P23" i="1" s="1"/>
  <c r="M24" i="1"/>
  <c r="P24" i="1" s="1"/>
  <c r="M25" i="1"/>
  <c r="P25" i="1" s="1"/>
  <c r="M26" i="1"/>
  <c r="P26" i="1" s="1"/>
  <c r="M27" i="1"/>
  <c r="P27" i="1" s="1"/>
  <c r="M28" i="1"/>
  <c r="P28" i="1" s="1"/>
  <c r="M29" i="1"/>
  <c r="P29" i="1" s="1"/>
  <c r="M30" i="1"/>
  <c r="P30" i="1" s="1"/>
  <c r="M31" i="1"/>
  <c r="P31" i="1" s="1"/>
  <c r="M32" i="1"/>
  <c r="P32" i="1" s="1"/>
  <c r="M33" i="1"/>
  <c r="P33" i="1" s="1"/>
  <c r="M34" i="1"/>
  <c r="P34" i="1" s="1"/>
  <c r="M35" i="1"/>
  <c r="P35" i="1" s="1"/>
  <c r="M36" i="1"/>
  <c r="P36" i="1" s="1"/>
  <c r="M37" i="1"/>
  <c r="M38" i="1"/>
  <c r="M39" i="1"/>
  <c r="P39" i="1" s="1"/>
  <c r="M40" i="1"/>
  <c r="P40" i="1" s="1"/>
  <c r="M41" i="1"/>
  <c r="P41" i="1" s="1"/>
  <c r="M42" i="1"/>
  <c r="P42" i="1" s="1"/>
  <c r="M43" i="1"/>
  <c r="P43" i="1" s="1"/>
  <c r="M44" i="1"/>
  <c r="P44" i="1" s="1"/>
  <c r="M45" i="1"/>
  <c r="P45" i="1" s="1"/>
  <c r="M46" i="1"/>
  <c r="P46" i="1" s="1"/>
  <c r="M47" i="1"/>
  <c r="P47" i="1" s="1"/>
  <c r="M48" i="1"/>
  <c r="P48" i="1" s="1"/>
  <c r="M49" i="1"/>
  <c r="P49" i="1" s="1"/>
  <c r="M50" i="1"/>
  <c r="P50" i="1" s="1"/>
  <c r="M51" i="1"/>
  <c r="M52" i="1"/>
  <c r="P52" i="1" s="1"/>
  <c r="M53" i="1"/>
  <c r="M54" i="1"/>
  <c r="P54" i="1" s="1"/>
  <c r="M55" i="1"/>
  <c r="P55" i="1" s="1"/>
  <c r="M56" i="1"/>
  <c r="P56" i="1" s="1"/>
  <c r="M57" i="1"/>
  <c r="P57" i="1" s="1"/>
  <c r="M58" i="1"/>
  <c r="P58" i="1" s="1"/>
  <c r="M59" i="1"/>
  <c r="P59" i="1" s="1"/>
  <c r="M60" i="1"/>
  <c r="P60" i="1" s="1"/>
  <c r="M61" i="1"/>
  <c r="P61" i="1" s="1"/>
  <c r="M62" i="1"/>
  <c r="P62" i="1" s="1"/>
  <c r="M63" i="1"/>
  <c r="P63" i="1" s="1"/>
  <c r="M64" i="1"/>
  <c r="P64" i="1" s="1"/>
  <c r="M65" i="1"/>
  <c r="M66" i="1"/>
  <c r="M67" i="1"/>
  <c r="P67" i="1" s="1"/>
  <c r="M68" i="1"/>
  <c r="P68" i="1" s="1"/>
  <c r="M69" i="1"/>
  <c r="P69" i="1" s="1"/>
  <c r="M70" i="1"/>
  <c r="P70" i="1" s="1"/>
  <c r="M71" i="1"/>
  <c r="P71" i="1" s="1"/>
  <c r="M72" i="1"/>
  <c r="P72" i="1" s="1"/>
  <c r="M73" i="1"/>
  <c r="P73" i="1" s="1"/>
  <c r="M74" i="1"/>
  <c r="P74" i="1" s="1"/>
  <c r="M75" i="1"/>
  <c r="P75" i="1" s="1"/>
  <c r="M76" i="1"/>
  <c r="P76" i="1" s="1"/>
  <c r="M77" i="1"/>
  <c r="P77" i="1" s="1"/>
  <c r="M78" i="1"/>
  <c r="P78" i="1" s="1"/>
  <c r="M79" i="1"/>
  <c r="P79" i="1" s="1"/>
  <c r="M80" i="1"/>
  <c r="P80" i="1" s="1"/>
  <c r="M81" i="1"/>
  <c r="M82" i="1"/>
  <c r="P82" i="1" s="1"/>
  <c r="M83" i="1"/>
  <c r="P83" i="1" s="1"/>
  <c r="M84" i="1"/>
  <c r="P84" i="1" s="1"/>
  <c r="M85" i="1"/>
  <c r="P85" i="1" s="1"/>
  <c r="M86" i="1"/>
  <c r="P86" i="1" s="1"/>
  <c r="M87" i="1"/>
  <c r="P87" i="1" s="1"/>
  <c r="M88" i="1"/>
  <c r="P88" i="1" s="1"/>
  <c r="M89" i="1"/>
  <c r="P89" i="1" s="1"/>
  <c r="M90" i="1"/>
  <c r="P90" i="1" s="1"/>
  <c r="M91" i="1"/>
  <c r="P91" i="1" s="1"/>
  <c r="M92" i="1"/>
  <c r="P92" i="1" s="1"/>
  <c r="M93" i="1"/>
  <c r="M94" i="1"/>
  <c r="M95" i="1"/>
  <c r="P95" i="1" s="1"/>
  <c r="M96" i="1"/>
  <c r="P96" i="1" s="1"/>
  <c r="M97" i="1"/>
  <c r="P97" i="1" s="1"/>
  <c r="M98" i="1"/>
  <c r="P98" i="1" s="1"/>
  <c r="M99" i="1"/>
  <c r="P99" i="1" s="1"/>
  <c r="M100" i="1"/>
  <c r="P100" i="1" s="1"/>
  <c r="M101" i="1"/>
  <c r="P101" i="1" s="1"/>
  <c r="M102" i="1"/>
  <c r="P102" i="1" s="1"/>
  <c r="M103" i="1"/>
  <c r="P103" i="1" s="1"/>
  <c r="M104" i="1"/>
  <c r="P104" i="1" s="1"/>
  <c r="M105" i="1"/>
  <c r="P105" i="1" s="1"/>
  <c r="M106" i="1"/>
  <c r="M107" i="1"/>
  <c r="P107" i="1" s="1"/>
  <c r="M108" i="1"/>
  <c r="M109" i="1"/>
  <c r="P109" i="1" s="1"/>
  <c r="M110" i="1"/>
  <c r="P110" i="1" s="1"/>
  <c r="M111" i="1"/>
  <c r="P111" i="1" s="1"/>
  <c r="M112" i="1"/>
  <c r="P112" i="1" s="1"/>
  <c r="M113" i="1"/>
  <c r="P113" i="1" s="1"/>
  <c r="M114" i="1"/>
  <c r="P114" i="1" s="1"/>
  <c r="M115" i="1"/>
  <c r="P115" i="1" s="1"/>
  <c r="M116" i="1"/>
  <c r="P116" i="1" s="1"/>
  <c r="M117" i="1"/>
  <c r="P117" i="1" s="1"/>
  <c r="M118" i="1"/>
  <c r="P118" i="1" s="1"/>
  <c r="M119" i="1"/>
  <c r="P119" i="1" s="1"/>
  <c r="M120" i="1"/>
  <c r="P120" i="1" s="1"/>
  <c r="M121" i="1"/>
  <c r="M122" i="1"/>
  <c r="M123" i="1"/>
  <c r="P123" i="1" s="1"/>
  <c r="M124" i="1"/>
  <c r="P124" i="1" s="1"/>
  <c r="M125" i="1"/>
  <c r="P125" i="1" s="1"/>
  <c r="M126" i="1"/>
  <c r="P126" i="1" s="1"/>
  <c r="M127" i="1"/>
  <c r="P127" i="1" s="1"/>
  <c r="M128" i="1"/>
  <c r="P128" i="1" s="1"/>
  <c r="M129" i="1"/>
  <c r="P129" i="1" s="1"/>
  <c r="M130" i="1"/>
  <c r="P130" i="1" s="1"/>
  <c r="M131" i="1"/>
  <c r="P131" i="1" s="1"/>
  <c r="M132" i="1"/>
  <c r="P132" i="1" s="1"/>
  <c r="M133" i="1"/>
  <c r="P133" i="1" s="1"/>
  <c r="M134" i="1"/>
  <c r="P134" i="1" s="1"/>
  <c r="M135" i="1"/>
  <c r="P135" i="1" s="1"/>
  <c r="M136" i="1"/>
  <c r="P136" i="1" s="1"/>
  <c r="M137" i="1"/>
  <c r="M138" i="1"/>
  <c r="P138" i="1" s="1"/>
  <c r="M139" i="1"/>
  <c r="P139" i="1" s="1"/>
  <c r="M140" i="1"/>
  <c r="P140" i="1" s="1"/>
  <c r="M141" i="1"/>
  <c r="P141" i="1" s="1"/>
  <c r="M142" i="1"/>
  <c r="P142" i="1" s="1"/>
  <c r="M143" i="1"/>
  <c r="P143" i="1" s="1"/>
  <c r="M144" i="1"/>
  <c r="P144" i="1" s="1"/>
  <c r="M145" i="1"/>
  <c r="P145" i="1" s="1"/>
  <c r="M146" i="1"/>
  <c r="P146" i="1" s="1"/>
  <c r="M147" i="1"/>
  <c r="P147" i="1" s="1"/>
  <c r="M148" i="1"/>
  <c r="M149" i="1"/>
  <c r="M150" i="1"/>
  <c r="P150" i="1" s="1"/>
  <c r="M151" i="1"/>
  <c r="P151" i="1" s="1"/>
  <c r="M152" i="1"/>
  <c r="P152" i="1" s="1"/>
  <c r="M153" i="1"/>
  <c r="P153" i="1" s="1"/>
  <c r="M154" i="1"/>
  <c r="P154" i="1" s="1"/>
  <c r="M155" i="1"/>
  <c r="P155" i="1" s="1"/>
  <c r="M156" i="1"/>
  <c r="P156" i="1" s="1"/>
  <c r="M157" i="1"/>
  <c r="P157" i="1" s="1"/>
  <c r="M158" i="1"/>
  <c r="P158" i="1" s="1"/>
  <c r="M159" i="1"/>
  <c r="P159" i="1" s="1"/>
  <c r="M160" i="1"/>
  <c r="P160" i="1" s="1"/>
  <c r="M161" i="1"/>
  <c r="P161" i="1" s="1"/>
  <c r="M162" i="1"/>
  <c r="P162" i="1" s="1"/>
  <c r="M163" i="1"/>
  <c r="M164" i="1"/>
  <c r="M165" i="1"/>
  <c r="P165" i="1" s="1"/>
  <c r="M166" i="1"/>
  <c r="P166" i="1" s="1"/>
  <c r="M167" i="1"/>
  <c r="P167" i="1" s="1"/>
  <c r="M168" i="1"/>
  <c r="P168" i="1" s="1"/>
  <c r="M169" i="1"/>
  <c r="P169" i="1" s="1"/>
  <c r="M170" i="1"/>
  <c r="P170" i="1" s="1"/>
  <c r="M171" i="1"/>
  <c r="P171" i="1" s="1"/>
  <c r="M172" i="1"/>
  <c r="P172" i="1" s="1"/>
  <c r="M173" i="1"/>
  <c r="P173" i="1" s="1"/>
  <c r="M174" i="1"/>
  <c r="P174" i="1" s="1"/>
  <c r="M175" i="1"/>
  <c r="P175" i="1" s="1"/>
  <c r="M176" i="1"/>
  <c r="P176" i="1" s="1"/>
  <c r="M177" i="1"/>
  <c r="M178" i="1"/>
  <c r="M179" i="1"/>
  <c r="P179" i="1" s="1"/>
  <c r="M180" i="1"/>
  <c r="P180" i="1" s="1"/>
  <c r="M181" i="1"/>
  <c r="P181" i="1" s="1"/>
  <c r="M182" i="1"/>
  <c r="P182" i="1" s="1"/>
  <c r="M183" i="1"/>
  <c r="P183" i="1" s="1"/>
  <c r="M184" i="1"/>
  <c r="P184" i="1" s="1"/>
  <c r="M185" i="1"/>
  <c r="P185" i="1" s="1"/>
  <c r="M186" i="1"/>
  <c r="P186" i="1" s="1"/>
  <c r="M187" i="1"/>
  <c r="P187" i="1" s="1"/>
  <c r="M188" i="1"/>
  <c r="P188" i="1" s="1"/>
  <c r="M189" i="1"/>
  <c r="P189" i="1" s="1"/>
  <c r="M190" i="1"/>
  <c r="P190" i="1" s="1"/>
  <c r="M191" i="1"/>
  <c r="P191" i="1" s="1"/>
  <c r="M192" i="1"/>
  <c r="P192" i="1" s="1"/>
  <c r="M193" i="1"/>
  <c r="P193" i="1" s="1"/>
  <c r="M194" i="1"/>
  <c r="P194" i="1" s="1"/>
  <c r="M195" i="1"/>
  <c r="P195" i="1" s="1"/>
  <c r="M196" i="1"/>
  <c r="P196" i="1" s="1"/>
  <c r="M197" i="1"/>
  <c r="P197" i="1" s="1"/>
  <c r="M198" i="1"/>
  <c r="P198" i="1" s="1"/>
  <c r="M199" i="1"/>
  <c r="P199" i="1" s="1"/>
  <c r="M200" i="1"/>
  <c r="P200" i="1" s="1"/>
  <c r="M201" i="1"/>
  <c r="P201" i="1" s="1"/>
  <c r="M202" i="1"/>
  <c r="P202" i="1" s="1"/>
  <c r="M203" i="1"/>
  <c r="P203" i="1" s="1"/>
  <c r="M204" i="1"/>
  <c r="M205" i="1"/>
  <c r="M206" i="1"/>
  <c r="P206" i="1" s="1"/>
  <c r="M207" i="1"/>
  <c r="P207" i="1" s="1"/>
  <c r="M208" i="1"/>
  <c r="P208" i="1" s="1"/>
  <c r="M209" i="1"/>
  <c r="P209" i="1" s="1"/>
  <c r="M210" i="1"/>
  <c r="P210" i="1" s="1"/>
  <c r="M211" i="1"/>
  <c r="P211" i="1" s="1"/>
  <c r="M212" i="1"/>
  <c r="P212" i="1" s="1"/>
  <c r="M213" i="1"/>
  <c r="P213" i="1" s="1"/>
  <c r="M214" i="1"/>
  <c r="P214" i="1" s="1"/>
  <c r="M215" i="1"/>
  <c r="P215" i="1" s="1"/>
  <c r="M216" i="1"/>
  <c r="P216" i="1" s="1"/>
  <c r="M217" i="1"/>
  <c r="P217" i="1" s="1"/>
  <c r="M218" i="1"/>
  <c r="P218" i="1" s="1"/>
  <c r="M219" i="1"/>
  <c r="M220" i="1"/>
  <c r="M221" i="1"/>
  <c r="P221" i="1" s="1"/>
  <c r="M222" i="1"/>
  <c r="P222" i="1" s="1"/>
  <c r="M223" i="1"/>
  <c r="P223" i="1" s="1"/>
  <c r="M224" i="1"/>
  <c r="P224" i="1" s="1"/>
  <c r="M225" i="1"/>
  <c r="P225" i="1" s="1"/>
  <c r="M226" i="1"/>
  <c r="P226" i="1" s="1"/>
  <c r="M227" i="1"/>
  <c r="P227" i="1" s="1"/>
  <c r="M228" i="1"/>
  <c r="P228" i="1" s="1"/>
  <c r="M229" i="1"/>
  <c r="P229" i="1" s="1"/>
  <c r="M230" i="1"/>
  <c r="P230" i="1" s="1"/>
  <c r="M231" i="1"/>
  <c r="P231" i="1" s="1"/>
  <c r="M232" i="1"/>
  <c r="P232" i="1" s="1"/>
  <c r="M233" i="1"/>
  <c r="M234" i="1"/>
  <c r="P234" i="1" s="1"/>
  <c r="M235" i="1"/>
  <c r="P235" i="1" s="1"/>
  <c r="M236" i="1"/>
  <c r="P236" i="1" s="1"/>
  <c r="M237" i="1"/>
  <c r="P237" i="1" s="1"/>
  <c r="M238" i="1"/>
  <c r="P238" i="1" s="1"/>
  <c r="M239" i="1"/>
  <c r="P239" i="1" s="1"/>
  <c r="M240" i="1"/>
  <c r="P240" i="1" s="1"/>
  <c r="M241" i="1"/>
  <c r="P241" i="1" s="1"/>
  <c r="M242" i="1"/>
  <c r="P242" i="1" s="1"/>
  <c r="M243" i="1"/>
  <c r="P243" i="1" s="1"/>
  <c r="M244" i="1"/>
  <c r="P244" i="1" s="1"/>
  <c r="M245" i="1"/>
  <c r="P245" i="1" s="1"/>
  <c r="M246" i="1"/>
  <c r="P246" i="1" s="1"/>
  <c r="M247" i="1"/>
  <c r="P247" i="1" s="1"/>
  <c r="M248" i="1"/>
  <c r="P248" i="1" s="1"/>
  <c r="M249" i="1"/>
  <c r="P249" i="1" s="1"/>
  <c r="M250" i="1"/>
  <c r="P250" i="1" s="1"/>
  <c r="M251" i="1"/>
  <c r="P251" i="1" s="1"/>
  <c r="M252" i="1"/>
  <c r="P252" i="1" s="1"/>
  <c r="M253" i="1"/>
  <c r="P253" i="1" s="1"/>
  <c r="M254" i="1"/>
  <c r="P254" i="1" s="1"/>
  <c r="M255" i="1"/>
  <c r="P255" i="1" s="1"/>
  <c r="M256" i="1"/>
  <c r="P256" i="1" s="1"/>
  <c r="M257" i="1"/>
  <c r="P257" i="1" s="1"/>
  <c r="M258" i="1"/>
  <c r="P258" i="1" s="1"/>
  <c r="M259" i="1"/>
  <c r="P259" i="1" s="1"/>
  <c r="M260" i="1"/>
  <c r="M261" i="1"/>
  <c r="M262" i="1"/>
  <c r="P262" i="1" s="1"/>
  <c r="M263" i="1"/>
  <c r="P263" i="1" s="1"/>
  <c r="M264" i="1"/>
  <c r="P264" i="1" s="1"/>
  <c r="M265" i="1"/>
  <c r="P265" i="1" s="1"/>
  <c r="M266" i="1"/>
  <c r="P266" i="1" s="1"/>
  <c r="M267" i="1"/>
  <c r="P267" i="1" s="1"/>
  <c r="M268" i="1"/>
  <c r="P268" i="1" s="1"/>
  <c r="M269" i="1"/>
  <c r="P269" i="1" s="1"/>
  <c r="M270" i="1"/>
  <c r="P270" i="1" s="1"/>
  <c r="M271" i="1"/>
  <c r="P271" i="1" s="1"/>
  <c r="M272" i="1"/>
  <c r="P272" i="1" s="1"/>
  <c r="M273" i="1"/>
  <c r="P273" i="1" s="1"/>
  <c r="M274" i="1"/>
  <c r="M275" i="1"/>
  <c r="M276" i="1"/>
  <c r="P276" i="1" s="1"/>
  <c r="M277" i="1"/>
  <c r="P277" i="1" s="1"/>
  <c r="M278" i="1"/>
  <c r="P278" i="1" s="1"/>
  <c r="M279" i="1"/>
  <c r="P279" i="1" s="1"/>
  <c r="M280" i="1"/>
  <c r="P280" i="1" s="1"/>
  <c r="M281" i="1"/>
  <c r="P281" i="1" s="1"/>
  <c r="M282" i="1"/>
  <c r="P282" i="1" s="1"/>
  <c r="M283" i="1"/>
  <c r="P283" i="1" s="1"/>
  <c r="M284" i="1"/>
  <c r="P284" i="1" s="1"/>
  <c r="M285" i="1"/>
  <c r="P285" i="1" s="1"/>
  <c r="M286" i="1"/>
  <c r="P286" i="1" s="1"/>
  <c r="M287" i="1"/>
  <c r="P287" i="1" s="1"/>
  <c r="M288" i="1"/>
  <c r="P288" i="1" s="1"/>
  <c r="M289" i="1"/>
  <c r="M290" i="1"/>
  <c r="P290" i="1" s="1"/>
  <c r="M291" i="1"/>
  <c r="P291" i="1" s="1"/>
  <c r="M292" i="1"/>
  <c r="P292" i="1" s="1"/>
  <c r="M293" i="1"/>
  <c r="P293" i="1" s="1"/>
  <c r="M294" i="1"/>
  <c r="P294" i="1" s="1"/>
  <c r="M295" i="1"/>
  <c r="P295" i="1" s="1"/>
  <c r="M296" i="1"/>
  <c r="P296" i="1" s="1"/>
  <c r="M297" i="1"/>
  <c r="P297" i="1" s="1"/>
  <c r="M298" i="1"/>
  <c r="P298" i="1" s="1"/>
  <c r="M299" i="1"/>
  <c r="P299" i="1" s="1"/>
  <c r="M300" i="1"/>
  <c r="P300" i="1" s="1"/>
  <c r="M301" i="1"/>
  <c r="P301" i="1" s="1"/>
  <c r="M302" i="1"/>
  <c r="P302" i="1" s="1"/>
  <c r="M303" i="1"/>
  <c r="P303" i="1" s="1"/>
  <c r="M304" i="1"/>
  <c r="P304" i="1" s="1"/>
  <c r="M305" i="1"/>
  <c r="P305" i="1" s="1"/>
  <c r="M306" i="1"/>
  <c r="P306" i="1" s="1"/>
  <c r="M307" i="1"/>
  <c r="P307" i="1" s="1"/>
  <c r="M308" i="1"/>
  <c r="P308" i="1" s="1"/>
  <c r="M309" i="1"/>
  <c r="P309" i="1" s="1"/>
  <c r="M310" i="1"/>
  <c r="P310" i="1" s="1"/>
  <c r="M311" i="1"/>
  <c r="P311" i="1" s="1"/>
  <c r="M312" i="1"/>
  <c r="P312" i="1" s="1"/>
  <c r="M313" i="1"/>
  <c r="P313" i="1" s="1"/>
  <c r="M314" i="1"/>
  <c r="P314" i="1" s="1"/>
  <c r="M315" i="1"/>
  <c r="M316" i="1"/>
  <c r="M317" i="1"/>
  <c r="P317" i="1" s="1"/>
  <c r="M318" i="1"/>
  <c r="P318" i="1" s="1"/>
  <c r="M319" i="1"/>
  <c r="P319" i="1" s="1"/>
  <c r="M320" i="1"/>
  <c r="P320" i="1" s="1"/>
  <c r="M321" i="1"/>
  <c r="P321" i="1" s="1"/>
  <c r="M322" i="1"/>
  <c r="P322" i="1" s="1"/>
  <c r="M323" i="1"/>
  <c r="P323" i="1" s="1"/>
  <c r="M324" i="1"/>
  <c r="P324" i="1" s="1"/>
  <c r="M325" i="1"/>
  <c r="P325" i="1" s="1"/>
  <c r="M326" i="1"/>
  <c r="P326" i="1" s="1"/>
  <c r="M327" i="1"/>
  <c r="P327" i="1" s="1"/>
  <c r="M328" i="1"/>
  <c r="P328" i="1" s="1"/>
  <c r="M329" i="1"/>
  <c r="P329" i="1" s="1"/>
  <c r="M330" i="1"/>
  <c r="M331" i="1"/>
  <c r="M332" i="1"/>
  <c r="P332" i="1" s="1"/>
  <c r="M333" i="1"/>
  <c r="P333" i="1" s="1"/>
  <c r="M334" i="1"/>
  <c r="P334" i="1" s="1"/>
  <c r="M335" i="1"/>
  <c r="P335" i="1" s="1"/>
  <c r="M336" i="1"/>
  <c r="P336" i="1" s="1"/>
  <c r="M337" i="1"/>
  <c r="P337" i="1" s="1"/>
  <c r="M338" i="1"/>
  <c r="P338" i="1" s="1"/>
  <c r="M339" i="1"/>
  <c r="P339" i="1" s="1"/>
  <c r="M340" i="1"/>
  <c r="P340" i="1" s="1"/>
  <c r="M341" i="1"/>
  <c r="P341" i="1" s="1"/>
  <c r="M342" i="1"/>
  <c r="P342" i="1" s="1"/>
  <c r="M343" i="1"/>
  <c r="P343" i="1" s="1"/>
  <c r="M344" i="1"/>
  <c r="P344" i="1" s="1"/>
  <c r="M345" i="1"/>
  <c r="P345" i="1" s="1"/>
  <c r="M346" i="1"/>
  <c r="M347" i="1"/>
  <c r="P347" i="1" s="1"/>
  <c r="M348" i="1"/>
  <c r="P348" i="1" s="1"/>
  <c r="M349" i="1"/>
  <c r="P349" i="1" s="1"/>
  <c r="M350" i="1"/>
  <c r="P350" i="1" s="1"/>
  <c r="M351" i="1"/>
  <c r="P351" i="1" s="1"/>
  <c r="M352" i="1"/>
  <c r="P352" i="1" s="1"/>
  <c r="M353" i="1"/>
  <c r="P353" i="1" s="1"/>
  <c r="M354" i="1"/>
  <c r="P354" i="1" s="1"/>
  <c r="M355" i="1"/>
  <c r="P355" i="1" s="1"/>
  <c r="M356" i="1"/>
  <c r="P356" i="1" s="1"/>
  <c r="M357" i="1"/>
  <c r="M358" i="1"/>
  <c r="M359" i="1"/>
  <c r="P359" i="1" s="1"/>
  <c r="M360" i="1"/>
  <c r="P360" i="1" s="1"/>
  <c r="M361" i="1"/>
  <c r="P361" i="1" s="1"/>
  <c r="M362" i="1"/>
  <c r="P362" i="1" s="1"/>
  <c r="M363" i="1"/>
  <c r="P363" i="1" s="1"/>
  <c r="M364" i="1"/>
  <c r="P364" i="1" s="1"/>
  <c r="M365" i="1"/>
  <c r="P365" i="1" s="1"/>
  <c r="M366" i="1"/>
  <c r="P366" i="1" s="1"/>
  <c r="M367" i="1"/>
  <c r="P367" i="1" s="1"/>
  <c r="M368" i="1"/>
  <c r="P368" i="1" s="1"/>
  <c r="M369" i="1"/>
  <c r="P369" i="1" s="1"/>
  <c r="M370" i="1"/>
  <c r="P370" i="1" s="1"/>
  <c r="M371" i="1"/>
  <c r="M372" i="1"/>
  <c r="P372" i="1" s="1"/>
  <c r="M373" i="1"/>
  <c r="M374" i="1"/>
  <c r="P374" i="1" s="1"/>
  <c r="M375" i="1"/>
  <c r="P375" i="1" s="1"/>
  <c r="M376" i="1"/>
  <c r="P376" i="1" s="1"/>
  <c r="M377" i="1"/>
  <c r="P377" i="1" s="1"/>
  <c r="M378" i="1"/>
  <c r="P378" i="1" s="1"/>
  <c r="M379" i="1"/>
  <c r="P379" i="1" s="1"/>
  <c r="M380" i="1"/>
  <c r="P380" i="1" s="1"/>
  <c r="M381" i="1"/>
  <c r="P381" i="1" s="1"/>
  <c r="M382" i="1"/>
  <c r="P382" i="1" s="1"/>
  <c r="M383" i="1"/>
  <c r="P383" i="1" s="1"/>
  <c r="M384" i="1"/>
  <c r="P384" i="1" s="1"/>
  <c r="M385" i="1"/>
  <c r="P385" i="1" s="1"/>
  <c r="M386" i="1"/>
  <c r="M387" i="1"/>
  <c r="M388" i="1"/>
  <c r="P388" i="1" s="1"/>
  <c r="M389" i="1"/>
  <c r="P389" i="1" s="1"/>
  <c r="M390" i="1"/>
  <c r="P390" i="1" s="1"/>
  <c r="M391" i="1"/>
  <c r="P391" i="1" s="1"/>
  <c r="M392" i="1"/>
  <c r="P392" i="1" s="1"/>
  <c r="M393" i="1"/>
  <c r="P393" i="1" s="1"/>
  <c r="M394" i="1"/>
  <c r="P394" i="1" s="1"/>
  <c r="M395" i="1"/>
  <c r="P395" i="1" s="1"/>
  <c r="M396" i="1"/>
  <c r="P396" i="1" s="1"/>
  <c r="M397" i="1"/>
  <c r="P397" i="1" s="1"/>
  <c r="M398" i="1"/>
  <c r="P398" i="1" s="1"/>
  <c r="M399" i="1"/>
  <c r="P399" i="1" s="1"/>
  <c r="M400" i="1"/>
  <c r="P400" i="1" s="1"/>
  <c r="M401" i="1"/>
  <c r="M402" i="1"/>
  <c r="P402" i="1" s="1"/>
  <c r="M403" i="1"/>
  <c r="P403" i="1" s="1"/>
  <c r="M404" i="1"/>
  <c r="P404" i="1" s="1"/>
  <c r="M405" i="1"/>
  <c r="P405" i="1" s="1"/>
  <c r="M406" i="1"/>
  <c r="P406" i="1" s="1"/>
  <c r="M407" i="1"/>
  <c r="P407" i="1" s="1"/>
  <c r="M408" i="1"/>
  <c r="P408" i="1" s="1"/>
  <c r="M409" i="1"/>
  <c r="P409" i="1" s="1"/>
  <c r="M410" i="1"/>
  <c r="P410" i="1" s="1"/>
  <c r="M411" i="1"/>
  <c r="P411" i="1" s="1"/>
  <c r="M412" i="1"/>
  <c r="P412" i="1" s="1"/>
  <c r="M413" i="1"/>
  <c r="M414" i="1"/>
  <c r="M415" i="1"/>
  <c r="P415" i="1" s="1"/>
  <c r="M416" i="1"/>
  <c r="P416" i="1" s="1"/>
  <c r="M417" i="1"/>
  <c r="P417" i="1" s="1"/>
  <c r="M418" i="1"/>
  <c r="P418" i="1" s="1"/>
  <c r="M419" i="1"/>
  <c r="P419" i="1" s="1"/>
  <c r="M420" i="1"/>
  <c r="P420" i="1" s="1"/>
  <c r="M421" i="1"/>
  <c r="P421" i="1" s="1"/>
  <c r="M422" i="1"/>
  <c r="P422" i="1" s="1"/>
  <c r="M423" i="1"/>
  <c r="P423" i="1" s="1"/>
  <c r="M424" i="1"/>
  <c r="P424" i="1" s="1"/>
  <c r="M425" i="1"/>
  <c r="P425" i="1" s="1"/>
  <c r="M426" i="1"/>
  <c r="P426" i="1" s="1"/>
  <c r="M427" i="1"/>
  <c r="P427" i="1" s="1"/>
  <c r="M428" i="1"/>
  <c r="M429" i="1"/>
  <c r="M430" i="1"/>
  <c r="P430" i="1" s="1"/>
  <c r="M431" i="1"/>
  <c r="P431" i="1" s="1"/>
  <c r="M432" i="1"/>
  <c r="P432" i="1" s="1"/>
  <c r="M433" i="1"/>
  <c r="P433" i="1" s="1"/>
  <c r="M434" i="1"/>
  <c r="P434" i="1" s="1"/>
  <c r="M435" i="1"/>
  <c r="P435" i="1" s="1"/>
  <c r="M436" i="1"/>
  <c r="P436" i="1" s="1"/>
  <c r="M437" i="1"/>
  <c r="P437" i="1" s="1"/>
  <c r="M438" i="1"/>
  <c r="P438" i="1" s="1"/>
  <c r="M439" i="1"/>
  <c r="P439" i="1" s="1"/>
  <c r="M440" i="1"/>
  <c r="P440" i="1" s="1"/>
  <c r="M441" i="1"/>
  <c r="M442" i="1"/>
  <c r="M443" i="1"/>
  <c r="P443" i="1" s="1"/>
  <c r="M444" i="1"/>
  <c r="P444" i="1" s="1"/>
  <c r="M445" i="1"/>
  <c r="P445" i="1" s="1"/>
  <c r="M446" i="1"/>
  <c r="P446" i="1" s="1"/>
  <c r="M447" i="1"/>
  <c r="P447" i="1" s="1"/>
  <c r="M448" i="1"/>
  <c r="P448" i="1" s="1"/>
  <c r="M449" i="1"/>
  <c r="P449" i="1" s="1"/>
  <c r="M450" i="1"/>
  <c r="P450" i="1" s="1"/>
  <c r="M451" i="1"/>
  <c r="P451" i="1" s="1"/>
  <c r="M452" i="1"/>
  <c r="P452" i="1" s="1"/>
  <c r="M453" i="1"/>
  <c r="P453" i="1" s="1"/>
  <c r="M454" i="1"/>
  <c r="P454" i="1" s="1"/>
  <c r="M455" i="1"/>
  <c r="P455" i="1" s="1"/>
  <c r="M456" i="1"/>
  <c r="P456" i="1" s="1"/>
  <c r="M457" i="1"/>
  <c r="M458" i="1"/>
  <c r="P458" i="1" s="1"/>
  <c r="M459" i="1"/>
  <c r="P459" i="1" s="1"/>
  <c r="M460" i="1"/>
  <c r="P460" i="1" s="1"/>
  <c r="M461" i="1"/>
  <c r="P461" i="1" s="1"/>
  <c r="M462" i="1"/>
  <c r="P462" i="1" s="1"/>
  <c r="M463" i="1"/>
  <c r="P463" i="1" s="1"/>
  <c r="M464" i="1"/>
  <c r="P464" i="1" s="1"/>
  <c r="M465" i="1"/>
  <c r="P465" i="1" s="1"/>
  <c r="M466" i="1"/>
  <c r="P466" i="1" s="1"/>
  <c r="M467" i="1"/>
  <c r="P467" i="1" s="1"/>
  <c r="M468" i="1"/>
  <c r="P468" i="1" s="1"/>
  <c r="M469" i="1"/>
  <c r="M470" i="1"/>
  <c r="M471" i="1"/>
  <c r="P471" i="1" s="1"/>
  <c r="M472" i="1"/>
  <c r="P472" i="1" s="1"/>
  <c r="M473" i="1"/>
  <c r="P473" i="1" s="1"/>
  <c r="M474" i="1"/>
  <c r="P474" i="1" s="1"/>
  <c r="M475" i="1"/>
  <c r="P475" i="1" s="1"/>
  <c r="M476" i="1"/>
  <c r="P476" i="1" s="1"/>
  <c r="M477" i="1"/>
  <c r="P477" i="1" s="1"/>
  <c r="M478" i="1"/>
  <c r="P478" i="1" s="1"/>
  <c r="M479" i="1"/>
  <c r="P479" i="1" s="1"/>
  <c r="M480" i="1"/>
  <c r="P480" i="1" s="1"/>
  <c r="M481" i="1"/>
  <c r="P481" i="1" s="1"/>
  <c r="M482" i="1"/>
  <c r="P482" i="1" s="1"/>
  <c r="M483" i="1"/>
  <c r="M484" i="1"/>
  <c r="M485" i="1"/>
  <c r="P485" i="1" s="1"/>
  <c r="M486" i="1"/>
  <c r="P486" i="1" s="1"/>
  <c r="M487" i="1"/>
  <c r="P487" i="1" s="1"/>
  <c r="M488" i="1"/>
  <c r="P488" i="1" s="1"/>
  <c r="M489" i="1"/>
  <c r="P489" i="1" s="1"/>
  <c r="M490" i="1"/>
  <c r="P490" i="1" s="1"/>
  <c r="M491" i="1"/>
  <c r="P491" i="1" s="1"/>
  <c r="M492" i="1"/>
  <c r="P492" i="1" s="1"/>
  <c r="M493" i="1"/>
  <c r="P493" i="1" s="1"/>
  <c r="M494" i="1"/>
  <c r="P494" i="1" s="1"/>
  <c r="M495" i="1"/>
  <c r="P495" i="1" s="1"/>
  <c r="M496" i="1"/>
  <c r="P496" i="1" s="1"/>
  <c r="M497" i="1"/>
  <c r="M498" i="1"/>
  <c r="M499" i="1"/>
  <c r="P499" i="1" s="1"/>
  <c r="M500" i="1"/>
  <c r="P500" i="1" s="1"/>
  <c r="M501" i="1"/>
  <c r="P501" i="1" s="1"/>
  <c r="M502" i="1"/>
  <c r="P502" i="1" s="1"/>
  <c r="M503" i="1"/>
  <c r="P503" i="1" s="1"/>
  <c r="M504" i="1"/>
  <c r="P504" i="1" s="1"/>
  <c r="M505" i="1"/>
  <c r="P505" i="1" s="1"/>
  <c r="M506" i="1"/>
  <c r="P506" i="1" s="1"/>
  <c r="M507" i="1"/>
  <c r="P507" i="1" s="1"/>
  <c r="M508" i="1"/>
  <c r="P508" i="1" s="1"/>
  <c r="M509" i="1"/>
  <c r="P509" i="1" s="1"/>
  <c r="M510" i="1"/>
  <c r="P510" i="1" s="1"/>
  <c r="M511" i="1"/>
  <c r="P511" i="1" s="1"/>
  <c r="M512" i="1"/>
  <c r="P512" i="1" s="1"/>
  <c r="M513" i="1"/>
  <c r="M514" i="1"/>
  <c r="P514" i="1" s="1"/>
  <c r="M515" i="1"/>
  <c r="P515" i="1" s="1"/>
  <c r="M516" i="1"/>
  <c r="P516" i="1" s="1"/>
  <c r="M517" i="1"/>
  <c r="P517" i="1" s="1"/>
  <c r="M518" i="1"/>
  <c r="P518" i="1" s="1"/>
  <c r="M519" i="1"/>
  <c r="P519" i="1" s="1"/>
  <c r="M520" i="1"/>
  <c r="P520" i="1" s="1"/>
  <c r="M521" i="1"/>
  <c r="P521" i="1" s="1"/>
  <c r="M522" i="1"/>
  <c r="P522" i="1" s="1"/>
  <c r="M523" i="1"/>
  <c r="P523" i="1" s="1"/>
  <c r="M524" i="1"/>
  <c r="M525" i="1"/>
  <c r="M526" i="1"/>
  <c r="P526" i="1" s="1"/>
  <c r="M527" i="1"/>
  <c r="P527" i="1" s="1"/>
  <c r="M528" i="1"/>
  <c r="P528" i="1" s="1"/>
  <c r="M529" i="1"/>
  <c r="P529" i="1" s="1"/>
  <c r="M530" i="1"/>
  <c r="P530" i="1" s="1"/>
  <c r="M531" i="1"/>
  <c r="P531" i="1" s="1"/>
  <c r="M532" i="1"/>
  <c r="P532" i="1" s="1"/>
  <c r="M533" i="1"/>
  <c r="P533" i="1" s="1"/>
  <c r="M534" i="1"/>
  <c r="P534" i="1" s="1"/>
  <c r="M535" i="1"/>
  <c r="P535" i="1" s="1"/>
  <c r="M536" i="1"/>
  <c r="P536" i="1" s="1"/>
  <c r="M537" i="1"/>
  <c r="P537" i="1" s="1"/>
  <c r="M538" i="1"/>
  <c r="P538" i="1" s="1"/>
  <c r="M539" i="1"/>
  <c r="M540" i="1"/>
  <c r="M541" i="1"/>
  <c r="P541" i="1" s="1"/>
  <c r="M542" i="1"/>
  <c r="P542" i="1" s="1"/>
  <c r="M543" i="1"/>
  <c r="P543" i="1" s="1"/>
  <c r="M544" i="1"/>
  <c r="P544" i="1" s="1"/>
  <c r="M545" i="1"/>
  <c r="P545" i="1" s="1"/>
  <c r="M546" i="1"/>
  <c r="P546" i="1" s="1"/>
  <c r="M547" i="1"/>
  <c r="P547" i="1" s="1"/>
  <c r="M548" i="1"/>
  <c r="P548" i="1" s="1"/>
  <c r="M549" i="1"/>
  <c r="P549" i="1" s="1"/>
  <c r="M550" i="1"/>
  <c r="P550" i="1" s="1"/>
  <c r="M551" i="1"/>
  <c r="P551" i="1" s="1"/>
  <c r="M552" i="1"/>
  <c r="P552" i="1" s="1"/>
  <c r="M553" i="1"/>
  <c r="M554" i="1"/>
  <c r="M555" i="1"/>
  <c r="P555" i="1" s="1"/>
  <c r="M556" i="1"/>
  <c r="P556" i="1" s="1"/>
  <c r="M557" i="1"/>
  <c r="P557" i="1" s="1"/>
  <c r="M558" i="1"/>
  <c r="P558" i="1" s="1"/>
  <c r="M559" i="1"/>
  <c r="P559" i="1" s="1"/>
  <c r="M560" i="1"/>
  <c r="P560" i="1" s="1"/>
  <c r="M561" i="1"/>
  <c r="P561" i="1" s="1"/>
  <c r="M562" i="1"/>
  <c r="P562" i="1" s="1"/>
  <c r="M563" i="1"/>
  <c r="P563" i="1" s="1"/>
  <c r="M564" i="1"/>
  <c r="P564" i="1" s="1"/>
  <c r="M565" i="1"/>
  <c r="P565" i="1" s="1"/>
  <c r="M566" i="1"/>
  <c r="P566" i="1" s="1"/>
  <c r="M567" i="1"/>
  <c r="P567" i="1" s="1"/>
  <c r="M568" i="1"/>
  <c r="P568" i="1" s="1"/>
  <c r="M569" i="1"/>
  <c r="P569" i="1" s="1"/>
  <c r="M570" i="1"/>
  <c r="P570" i="1" s="1"/>
  <c r="M571" i="1"/>
  <c r="P571" i="1" s="1"/>
  <c r="M572" i="1"/>
  <c r="P572" i="1" s="1"/>
  <c r="M573" i="1"/>
  <c r="P573" i="1" s="1"/>
  <c r="M574" i="1"/>
  <c r="P574" i="1" s="1"/>
  <c r="M575" i="1"/>
  <c r="P575" i="1" s="1"/>
  <c r="M576" i="1"/>
  <c r="P576" i="1" s="1"/>
  <c r="M577" i="1"/>
  <c r="P577" i="1" s="1"/>
  <c r="M578" i="1"/>
  <c r="P578" i="1" s="1"/>
  <c r="M579" i="1"/>
  <c r="P579" i="1" s="1"/>
  <c r="M580" i="1"/>
  <c r="M581" i="1"/>
  <c r="M582" i="1"/>
  <c r="P582" i="1" s="1"/>
  <c r="M583" i="1"/>
  <c r="P583" i="1" s="1"/>
  <c r="M584" i="1"/>
  <c r="P584" i="1" s="1"/>
  <c r="M585" i="1"/>
  <c r="P585" i="1" s="1"/>
  <c r="M586" i="1"/>
  <c r="P586" i="1" s="1"/>
  <c r="M587" i="1"/>
  <c r="P587" i="1" s="1"/>
  <c r="M588" i="1"/>
  <c r="P588" i="1" s="1"/>
  <c r="M589" i="1"/>
  <c r="P589" i="1" s="1"/>
  <c r="M590" i="1"/>
  <c r="P590" i="1" s="1"/>
  <c r="M591" i="1"/>
  <c r="P591" i="1" s="1"/>
  <c r="M592" i="1"/>
  <c r="P592" i="1" s="1"/>
  <c r="M593" i="1"/>
  <c r="P593" i="1" s="1"/>
  <c r="M594" i="1"/>
  <c r="P594" i="1" s="1"/>
  <c r="M595" i="1"/>
  <c r="M596" i="1"/>
  <c r="M597" i="1"/>
  <c r="P597" i="1" s="1"/>
  <c r="M598" i="1"/>
  <c r="P598" i="1" s="1"/>
  <c r="M599" i="1"/>
  <c r="P599" i="1" s="1"/>
  <c r="M600" i="1"/>
  <c r="P600" i="1" s="1"/>
  <c r="M601" i="1"/>
  <c r="P601" i="1" s="1"/>
  <c r="M602" i="1"/>
  <c r="P602" i="1" s="1"/>
  <c r="M603" i="1"/>
  <c r="P603" i="1" s="1"/>
  <c r="M604" i="1"/>
  <c r="P604" i="1" s="1"/>
  <c r="M605" i="1"/>
  <c r="P605" i="1" s="1"/>
  <c r="M606" i="1"/>
  <c r="P606" i="1" s="1"/>
  <c r="M607" i="1"/>
  <c r="P607" i="1" s="1"/>
  <c r="M608" i="1"/>
  <c r="P608" i="1" s="1"/>
  <c r="M609" i="1"/>
  <c r="M610" i="1"/>
  <c r="P610" i="1" s="1"/>
  <c r="M611" i="1"/>
  <c r="P611" i="1" s="1"/>
  <c r="M612" i="1"/>
  <c r="P612" i="1" s="1"/>
  <c r="M613" i="1"/>
  <c r="P613" i="1" s="1"/>
  <c r="M614" i="1"/>
  <c r="P614" i="1" s="1"/>
  <c r="M615" i="1"/>
  <c r="P615" i="1" s="1"/>
  <c r="M616" i="1"/>
  <c r="P616" i="1" s="1"/>
  <c r="M617" i="1"/>
  <c r="P617" i="1" s="1"/>
  <c r="M618" i="1"/>
  <c r="P618" i="1" s="1"/>
  <c r="M619" i="1"/>
  <c r="P619" i="1" s="1"/>
  <c r="M620" i="1"/>
  <c r="P620" i="1" s="1"/>
  <c r="M621" i="1"/>
  <c r="P621" i="1" s="1"/>
  <c r="M622" i="1"/>
  <c r="P622" i="1" s="1"/>
  <c r="M623" i="1"/>
  <c r="P623" i="1" s="1"/>
  <c r="M624" i="1"/>
  <c r="P624" i="1" s="1"/>
  <c r="M625" i="1"/>
  <c r="P625" i="1" s="1"/>
  <c r="M626" i="1"/>
  <c r="P626" i="1" s="1"/>
  <c r="M627" i="1"/>
  <c r="P627" i="1" s="1"/>
  <c r="M628" i="1"/>
  <c r="P628" i="1" s="1"/>
  <c r="M629" i="1"/>
  <c r="P629" i="1" s="1"/>
  <c r="M630" i="1"/>
  <c r="P630" i="1" s="1"/>
  <c r="M631" i="1"/>
  <c r="P631" i="1" s="1"/>
  <c r="M632" i="1"/>
  <c r="P632" i="1" s="1"/>
  <c r="M633" i="1"/>
  <c r="P633" i="1" s="1"/>
  <c r="M634" i="1"/>
  <c r="P634" i="1" s="1"/>
  <c r="M635" i="1"/>
  <c r="P635" i="1" s="1"/>
  <c r="M636" i="1"/>
  <c r="M637" i="1"/>
  <c r="P637" i="1" s="1"/>
  <c r="M638" i="1"/>
  <c r="M639" i="1"/>
  <c r="P639" i="1" s="1"/>
  <c r="M640" i="1"/>
  <c r="P640" i="1" s="1"/>
  <c r="M641" i="1"/>
  <c r="P641" i="1" s="1"/>
  <c r="M642" i="1"/>
  <c r="P642" i="1" s="1"/>
  <c r="M643" i="1"/>
  <c r="P643" i="1" s="1"/>
  <c r="M644" i="1"/>
  <c r="P644" i="1" s="1"/>
  <c r="M645" i="1"/>
  <c r="P645" i="1" s="1"/>
  <c r="M646" i="1"/>
  <c r="P646" i="1" s="1"/>
  <c r="M647" i="1"/>
  <c r="P647" i="1" s="1"/>
  <c r="M648" i="1"/>
  <c r="P648" i="1" s="1"/>
  <c r="M649" i="1"/>
  <c r="P649" i="1" s="1"/>
  <c r="M650" i="1"/>
  <c r="M651" i="1"/>
  <c r="M652" i="1"/>
  <c r="P652" i="1" s="1"/>
  <c r="M653" i="1"/>
  <c r="P653" i="1" s="1"/>
  <c r="M654" i="1"/>
  <c r="P654" i="1" s="1"/>
  <c r="M655" i="1"/>
  <c r="P655" i="1" s="1"/>
  <c r="M656" i="1"/>
  <c r="P656" i="1" s="1"/>
  <c r="M657" i="1"/>
  <c r="P657" i="1" s="1"/>
  <c r="M658" i="1"/>
  <c r="P658" i="1" s="1"/>
  <c r="M659" i="1"/>
  <c r="P659" i="1" s="1"/>
  <c r="M660" i="1"/>
  <c r="P660" i="1" s="1"/>
  <c r="M661" i="1"/>
  <c r="P661" i="1" s="1"/>
  <c r="M662" i="1"/>
  <c r="P662" i="1" s="1"/>
  <c r="M663" i="1"/>
  <c r="P663" i="1" s="1"/>
  <c r="M664" i="1"/>
  <c r="P664" i="1" s="1"/>
  <c r="M665" i="1"/>
  <c r="P665" i="1" s="1"/>
  <c r="M666" i="1"/>
  <c r="M667" i="1"/>
  <c r="P667" i="1" s="1"/>
  <c r="M668" i="1"/>
  <c r="P668" i="1" s="1"/>
  <c r="M669" i="1"/>
  <c r="P669" i="1" s="1"/>
  <c r="M670" i="1"/>
  <c r="P670" i="1" s="1"/>
  <c r="M671" i="1"/>
  <c r="P671" i="1" s="1"/>
  <c r="M672" i="1"/>
  <c r="P672" i="1" s="1"/>
  <c r="M673" i="1"/>
  <c r="P673" i="1" s="1"/>
  <c r="M674" i="1"/>
  <c r="P674" i="1" s="1"/>
  <c r="M675" i="1"/>
  <c r="P675" i="1" s="1"/>
  <c r="M676" i="1"/>
  <c r="P676" i="1" s="1"/>
  <c r="M677" i="1"/>
  <c r="P677" i="1" s="1"/>
  <c r="M678" i="1"/>
  <c r="P678" i="1" s="1"/>
  <c r="M679" i="1"/>
  <c r="P679" i="1" s="1"/>
  <c r="M680" i="1"/>
  <c r="P680" i="1" s="1"/>
  <c r="M681" i="1"/>
  <c r="P681" i="1" s="1"/>
  <c r="M682" i="1"/>
  <c r="P682" i="1" s="1"/>
  <c r="M683" i="1"/>
  <c r="P683" i="1" s="1"/>
  <c r="M684" i="1"/>
  <c r="P684" i="1" s="1"/>
  <c r="M685" i="1"/>
  <c r="P685" i="1" s="1"/>
  <c r="M686" i="1"/>
  <c r="P686" i="1" s="1"/>
  <c r="M687" i="1"/>
  <c r="P687" i="1" s="1"/>
  <c r="M688" i="1"/>
  <c r="P688" i="1" s="1"/>
  <c r="M689" i="1"/>
  <c r="P689" i="1" s="1"/>
  <c r="M690" i="1"/>
  <c r="M691" i="1"/>
  <c r="P691" i="1" s="1"/>
  <c r="M692" i="1"/>
  <c r="M693" i="1"/>
  <c r="P693" i="1" s="1"/>
  <c r="M694" i="1"/>
  <c r="P694" i="1" s="1"/>
  <c r="M695" i="1"/>
  <c r="P695" i="1" s="1"/>
  <c r="M696" i="1"/>
  <c r="P696" i="1" s="1"/>
  <c r="M697" i="1"/>
  <c r="P697" i="1" s="1"/>
  <c r="M698" i="1"/>
  <c r="P698" i="1" s="1"/>
  <c r="M699" i="1"/>
  <c r="P699" i="1" s="1"/>
  <c r="M700" i="1"/>
  <c r="P700" i="1" s="1"/>
  <c r="M701" i="1"/>
  <c r="P701" i="1" s="1"/>
  <c r="M702" i="1"/>
  <c r="P702" i="1" s="1"/>
  <c r="M703" i="1"/>
  <c r="P703" i="1" s="1"/>
  <c r="M704" i="1"/>
  <c r="M705" i="1"/>
  <c r="P705" i="1" s="1"/>
  <c r="M706" i="1"/>
  <c r="P706" i="1" s="1"/>
  <c r="M707" i="1"/>
  <c r="P707" i="1" s="1"/>
  <c r="M708" i="1"/>
  <c r="P708" i="1" s="1"/>
  <c r="M709" i="1"/>
  <c r="P709" i="1" s="1"/>
  <c r="M710" i="1"/>
  <c r="P710" i="1" s="1"/>
  <c r="M711" i="1"/>
  <c r="P711" i="1" s="1"/>
  <c r="M712" i="1"/>
  <c r="P712" i="1" s="1"/>
  <c r="M713" i="1"/>
  <c r="P713" i="1" s="1"/>
  <c r="M714" i="1"/>
  <c r="P714" i="1" s="1"/>
  <c r="M715" i="1"/>
  <c r="P715" i="1" s="1"/>
  <c r="M716" i="1"/>
  <c r="M717" i="1"/>
  <c r="M718" i="1"/>
  <c r="P718" i="1" s="1"/>
  <c r="M719" i="1"/>
  <c r="P719" i="1" s="1"/>
  <c r="M720" i="1"/>
  <c r="P720" i="1" s="1"/>
  <c r="M721" i="1"/>
  <c r="P721" i="1" s="1"/>
  <c r="M722" i="1"/>
  <c r="P722" i="1" s="1"/>
  <c r="M723" i="1"/>
  <c r="P723" i="1" s="1"/>
  <c r="M724" i="1"/>
  <c r="P724" i="1" s="1"/>
  <c r="M725" i="1"/>
  <c r="P725" i="1" s="1"/>
  <c r="M726" i="1"/>
  <c r="P726" i="1" s="1"/>
  <c r="M727" i="1"/>
  <c r="P727" i="1" s="1"/>
  <c r="M728" i="1"/>
  <c r="M729" i="1"/>
  <c r="P729" i="1" s="1"/>
  <c r="M730" i="1"/>
  <c r="P730" i="1" s="1"/>
  <c r="M731" i="1"/>
  <c r="P731" i="1" s="1"/>
  <c r="M732" i="1"/>
  <c r="P732" i="1" s="1"/>
  <c r="M733" i="1"/>
  <c r="P733" i="1" s="1"/>
  <c r="M734" i="1"/>
  <c r="P734" i="1" s="1"/>
  <c r="M735" i="1"/>
  <c r="P735" i="1" s="1"/>
  <c r="M736" i="1"/>
  <c r="P736" i="1" s="1"/>
  <c r="M737" i="1"/>
  <c r="P737" i="1" s="1"/>
  <c r="M738" i="1"/>
  <c r="P738" i="1" s="1"/>
  <c r="M739" i="1"/>
  <c r="P739" i="1" s="1"/>
  <c r="M740" i="1"/>
  <c r="M741" i="1"/>
  <c r="M742" i="1"/>
  <c r="P742" i="1" s="1"/>
  <c r="M743" i="1"/>
  <c r="P743" i="1" s="1"/>
  <c r="M744" i="1"/>
  <c r="P744" i="1" s="1"/>
  <c r="M745" i="1"/>
  <c r="P745" i="1" s="1"/>
  <c r="M746" i="1"/>
  <c r="P746" i="1" s="1"/>
  <c r="M747" i="1"/>
  <c r="P747" i="1" s="1"/>
  <c r="M748" i="1"/>
  <c r="P748" i="1" s="1"/>
  <c r="M749" i="1"/>
  <c r="P749" i="1" s="1"/>
  <c r="M750" i="1"/>
  <c r="P750" i="1" s="1"/>
  <c r="M751" i="1"/>
  <c r="P751" i="1" s="1"/>
  <c r="M752" i="1"/>
  <c r="M753" i="1"/>
  <c r="M754" i="1"/>
  <c r="P754" i="1" s="1"/>
  <c r="M755" i="1"/>
  <c r="P755" i="1" s="1"/>
  <c r="M756" i="1"/>
  <c r="P756" i="1" s="1"/>
  <c r="M757" i="1"/>
  <c r="P757" i="1" s="1"/>
  <c r="M758" i="1"/>
  <c r="P758" i="1" s="1"/>
  <c r="M759" i="1"/>
  <c r="P759" i="1" s="1"/>
  <c r="M760" i="1"/>
  <c r="P760" i="1" s="1"/>
  <c r="M761" i="1"/>
  <c r="P761" i="1" s="1"/>
  <c r="M762" i="1"/>
  <c r="P762" i="1" s="1"/>
  <c r="M763" i="1"/>
  <c r="P763" i="1" s="1"/>
  <c r="M764" i="1"/>
  <c r="M765" i="1"/>
  <c r="M766" i="1"/>
  <c r="P766" i="1" s="1"/>
  <c r="M767" i="1"/>
  <c r="P767" i="1" s="1"/>
  <c r="M768" i="1"/>
  <c r="P768" i="1" s="1"/>
  <c r="M769" i="1"/>
  <c r="P769" i="1" s="1"/>
  <c r="M770" i="1"/>
  <c r="P770" i="1" s="1"/>
  <c r="M771" i="1"/>
  <c r="P771" i="1" s="1"/>
  <c r="M772" i="1"/>
  <c r="P772" i="1" s="1"/>
  <c r="M773" i="1"/>
  <c r="P773" i="1" s="1"/>
  <c r="M774" i="1"/>
  <c r="P774" i="1" s="1"/>
  <c r="M775" i="1"/>
  <c r="P775" i="1" s="1"/>
  <c r="M776" i="1"/>
  <c r="M777" i="1"/>
  <c r="M778" i="1"/>
  <c r="P778" i="1" s="1"/>
  <c r="M779" i="1"/>
  <c r="P779" i="1" s="1"/>
  <c r="M780" i="1"/>
  <c r="P780" i="1" s="1"/>
  <c r="M781" i="1"/>
  <c r="P781" i="1" s="1"/>
  <c r="M782" i="1"/>
  <c r="P782" i="1" s="1"/>
  <c r="M783" i="1"/>
  <c r="P783" i="1" s="1"/>
  <c r="M784" i="1"/>
  <c r="P784" i="1" s="1"/>
  <c r="M785" i="1"/>
  <c r="P785" i="1" s="1"/>
  <c r="M786" i="1"/>
  <c r="P786" i="1" s="1"/>
  <c r="M787" i="1"/>
  <c r="P787" i="1" s="1"/>
  <c r="M788" i="1"/>
  <c r="M789" i="1"/>
  <c r="P789" i="1" s="1"/>
  <c r="M790" i="1"/>
  <c r="P790" i="1" s="1"/>
  <c r="M791" i="1"/>
  <c r="P791" i="1" s="1"/>
  <c r="M792" i="1"/>
  <c r="P792" i="1" s="1"/>
  <c r="M793" i="1"/>
  <c r="P793" i="1" s="1"/>
  <c r="M794" i="1"/>
  <c r="P794" i="1" s="1"/>
  <c r="M795" i="1"/>
  <c r="P795" i="1" s="1"/>
  <c r="M796" i="1"/>
  <c r="P796" i="1" s="1"/>
  <c r="M797" i="1"/>
  <c r="M798" i="1"/>
  <c r="M799" i="1"/>
  <c r="P799" i="1" s="1"/>
  <c r="M800" i="1"/>
  <c r="P800" i="1" s="1"/>
  <c r="M801" i="1"/>
  <c r="P801" i="1" s="1"/>
  <c r="M802" i="1"/>
  <c r="P802" i="1" s="1"/>
  <c r="M803" i="1"/>
  <c r="P803" i="1" s="1"/>
  <c r="M804" i="1"/>
  <c r="P804" i="1" s="1"/>
  <c r="M805" i="1"/>
  <c r="P805" i="1" s="1"/>
  <c r="M806" i="1"/>
  <c r="P806" i="1" s="1"/>
  <c r="M807" i="1"/>
  <c r="P807" i="1" s="1"/>
  <c r="M808" i="1"/>
  <c r="M809" i="1"/>
  <c r="M810" i="1"/>
  <c r="P810" i="1" s="1"/>
  <c r="M811" i="1"/>
  <c r="P811" i="1" s="1"/>
  <c r="M812" i="1"/>
  <c r="P812" i="1" s="1"/>
  <c r="M813" i="1"/>
  <c r="P813" i="1" s="1"/>
  <c r="M814" i="1"/>
  <c r="P814" i="1" s="1"/>
  <c r="M815" i="1"/>
  <c r="P815" i="1" s="1"/>
  <c r="M816" i="1"/>
  <c r="P816" i="1" s="1"/>
  <c r="M817" i="1"/>
  <c r="P817" i="1" s="1"/>
  <c r="M818" i="1"/>
  <c r="P818" i="1" s="1"/>
  <c r="M819" i="1"/>
  <c r="P819" i="1" s="1"/>
  <c r="M820" i="1"/>
  <c r="M821" i="1"/>
  <c r="P821" i="1" s="1"/>
  <c r="M822" i="1"/>
  <c r="P822" i="1" s="1"/>
  <c r="M823" i="1"/>
  <c r="P823" i="1" s="1"/>
  <c r="M824" i="1"/>
  <c r="P824" i="1" s="1"/>
  <c r="M825" i="1"/>
  <c r="P825" i="1" s="1"/>
  <c r="M826" i="1"/>
  <c r="P826" i="1" s="1"/>
  <c r="M827" i="1"/>
  <c r="P827" i="1" s="1"/>
  <c r="M828" i="1"/>
  <c r="P828" i="1" s="1"/>
  <c r="M829" i="1"/>
  <c r="M830" i="1"/>
  <c r="M831" i="1"/>
  <c r="P831" i="1" s="1"/>
  <c r="M832" i="1"/>
  <c r="P832" i="1" s="1"/>
  <c r="M833" i="1"/>
  <c r="P833" i="1" s="1"/>
  <c r="M834" i="1"/>
  <c r="P834" i="1" s="1"/>
  <c r="M835" i="1"/>
  <c r="P835" i="1" s="1"/>
  <c r="M836" i="1"/>
  <c r="P836" i="1" s="1"/>
  <c r="M837" i="1"/>
  <c r="P837" i="1" s="1"/>
  <c r="M838" i="1"/>
  <c r="P838" i="1" s="1"/>
  <c r="M839" i="1"/>
  <c r="P839" i="1" s="1"/>
  <c r="M840" i="1"/>
  <c r="M841" i="1"/>
  <c r="M842" i="1"/>
  <c r="P842" i="1" s="1"/>
  <c r="M843" i="1"/>
  <c r="P843" i="1" s="1"/>
  <c r="M844" i="1"/>
  <c r="P844" i="1" s="1"/>
  <c r="M845" i="1"/>
  <c r="P845" i="1" s="1"/>
  <c r="M846" i="1"/>
  <c r="P846" i="1" s="1"/>
  <c r="M847" i="1"/>
  <c r="P847" i="1" s="1"/>
  <c r="M848" i="1"/>
  <c r="P848" i="1" s="1"/>
  <c r="M849" i="1"/>
  <c r="P849" i="1" s="1"/>
  <c r="M850" i="1"/>
  <c r="P850" i="1" s="1"/>
  <c r="M851" i="1"/>
  <c r="P851" i="1" s="1"/>
  <c r="M852" i="1"/>
  <c r="M853" i="1"/>
  <c r="P853" i="1" s="1"/>
  <c r="M854" i="1"/>
  <c r="P854" i="1" s="1"/>
  <c r="M855" i="1"/>
  <c r="P855" i="1" s="1"/>
  <c r="M856" i="1"/>
  <c r="P856" i="1" s="1"/>
  <c r="M857" i="1"/>
  <c r="P857" i="1" s="1"/>
  <c r="M858" i="1"/>
  <c r="P858" i="1" s="1"/>
  <c r="M859" i="1"/>
  <c r="P859" i="1" s="1"/>
  <c r="M860" i="1"/>
  <c r="P860" i="1" s="1"/>
  <c r="M861" i="1"/>
  <c r="M862" i="1"/>
  <c r="M863" i="1"/>
  <c r="P863" i="1" s="1"/>
  <c r="M864" i="1"/>
  <c r="P864" i="1" s="1"/>
  <c r="M865" i="1"/>
  <c r="P865" i="1" s="1"/>
  <c r="M866" i="1"/>
  <c r="P866" i="1" s="1"/>
  <c r="M867" i="1"/>
  <c r="P867" i="1" s="1"/>
  <c r="M868" i="1"/>
  <c r="P868" i="1" s="1"/>
  <c r="M869" i="1"/>
  <c r="P869" i="1" s="1"/>
  <c r="M870" i="1"/>
  <c r="P870" i="1" s="1"/>
  <c r="M871" i="1"/>
  <c r="P871" i="1" s="1"/>
  <c r="M872" i="1"/>
  <c r="P872" i="1" s="1"/>
  <c r="M873" i="1"/>
  <c r="P873" i="1" s="1"/>
  <c r="M874" i="1"/>
  <c r="P874" i="1" s="1"/>
  <c r="M875" i="1"/>
  <c r="P875" i="1" s="1"/>
  <c r="M876" i="1"/>
  <c r="P876" i="1" s="1"/>
  <c r="M877" i="1"/>
  <c r="P877" i="1" s="1"/>
  <c r="M878" i="1"/>
  <c r="P878" i="1" s="1"/>
  <c r="M879" i="1"/>
  <c r="P879" i="1" s="1"/>
  <c r="M880" i="1"/>
  <c r="M881" i="1"/>
  <c r="P881" i="1" s="1"/>
  <c r="M882" i="1"/>
  <c r="P882" i="1" s="1"/>
  <c r="M883" i="1"/>
  <c r="P883" i="1" s="1"/>
  <c r="M884" i="1"/>
  <c r="P884" i="1" s="1"/>
  <c r="M885" i="1"/>
  <c r="P885" i="1" s="1"/>
  <c r="M886" i="1"/>
  <c r="P886" i="1" s="1"/>
  <c r="M887" i="1"/>
  <c r="P887" i="1" s="1"/>
  <c r="M888" i="1"/>
  <c r="M889" i="1"/>
  <c r="M890" i="1"/>
  <c r="P890" i="1" s="1"/>
  <c r="M891" i="1"/>
  <c r="P891" i="1" s="1"/>
  <c r="M892" i="1"/>
  <c r="P892" i="1" s="1"/>
  <c r="M893" i="1"/>
  <c r="P893" i="1" s="1"/>
  <c r="M894" i="1"/>
  <c r="P894" i="1" s="1"/>
  <c r="M895" i="1"/>
  <c r="P895" i="1" s="1"/>
  <c r="M896" i="1"/>
  <c r="P896" i="1" s="1"/>
  <c r="M897" i="1"/>
  <c r="M898" i="1"/>
  <c r="P898" i="1" s="1"/>
  <c r="M899" i="1"/>
  <c r="M900" i="1"/>
  <c r="P900" i="1" s="1"/>
  <c r="M901" i="1"/>
  <c r="P901" i="1" s="1"/>
  <c r="M902" i="1"/>
  <c r="P902" i="1" s="1"/>
  <c r="M903" i="1"/>
  <c r="P903" i="1" s="1"/>
  <c r="M904" i="1"/>
  <c r="P904" i="1" s="1"/>
  <c r="M905" i="1"/>
  <c r="P905" i="1" s="1"/>
  <c r="M906" i="1"/>
  <c r="P906" i="1" s="1"/>
  <c r="M907" i="1"/>
  <c r="P907" i="1" s="1"/>
  <c r="M908" i="1"/>
  <c r="M909" i="1"/>
  <c r="P909" i="1" s="1"/>
  <c r="M910" i="1"/>
  <c r="P910" i="1" s="1"/>
  <c r="M911" i="1"/>
  <c r="P911" i="1" s="1"/>
  <c r="M912" i="1"/>
  <c r="P912" i="1" s="1"/>
  <c r="M913" i="1"/>
  <c r="P913" i="1" s="1"/>
  <c r="M914" i="1"/>
  <c r="P914" i="1" s="1"/>
  <c r="M915" i="1"/>
  <c r="P915" i="1" s="1"/>
  <c r="M916" i="1"/>
  <c r="M917" i="1"/>
  <c r="M918" i="1"/>
  <c r="P918" i="1" s="1"/>
  <c r="M919" i="1"/>
  <c r="P919" i="1" s="1"/>
  <c r="M920" i="1"/>
  <c r="P920" i="1" s="1"/>
  <c r="M921" i="1"/>
  <c r="P921" i="1" s="1"/>
  <c r="M922" i="1"/>
  <c r="P922" i="1" s="1"/>
  <c r="M923" i="1"/>
  <c r="P923" i="1" s="1"/>
  <c r="M924" i="1"/>
  <c r="P924" i="1" s="1"/>
  <c r="M925" i="1"/>
  <c r="M926" i="1"/>
  <c r="M927" i="1"/>
  <c r="P927" i="1" s="1"/>
  <c r="M928" i="1"/>
  <c r="P928" i="1" s="1"/>
  <c r="M929" i="1"/>
  <c r="P929" i="1" s="1"/>
  <c r="M930" i="1"/>
  <c r="P930" i="1" s="1"/>
  <c r="M931" i="1"/>
  <c r="P931" i="1" s="1"/>
  <c r="M932" i="1"/>
  <c r="P932" i="1" s="1"/>
  <c r="M933" i="1"/>
  <c r="P933" i="1" s="1"/>
  <c r="M934" i="1"/>
  <c r="P934" i="1" s="1"/>
  <c r="M935" i="1"/>
  <c r="P935" i="1" s="1"/>
  <c r="M936" i="1"/>
  <c r="P936" i="1" s="1"/>
  <c r="M937" i="1"/>
  <c r="P937" i="1" s="1"/>
  <c r="M938" i="1"/>
  <c r="P938" i="1" s="1"/>
  <c r="M939" i="1"/>
  <c r="P939" i="1" s="1"/>
  <c r="M940" i="1"/>
  <c r="P940" i="1" s="1"/>
  <c r="M941" i="1"/>
  <c r="P941" i="1" s="1"/>
  <c r="M942" i="1"/>
  <c r="P942" i="1" s="1"/>
  <c r="M943" i="1"/>
  <c r="P943" i="1" s="1"/>
  <c r="M944" i="1"/>
  <c r="M945" i="1"/>
  <c r="P945" i="1" s="1"/>
  <c r="M946" i="1"/>
  <c r="P946" i="1" s="1"/>
  <c r="M947" i="1"/>
  <c r="P947" i="1" s="1"/>
  <c r="M948" i="1"/>
  <c r="P948" i="1" s="1"/>
  <c r="M949" i="1"/>
  <c r="P949" i="1" s="1"/>
  <c r="M950" i="1"/>
  <c r="P950" i="1" s="1"/>
  <c r="M951" i="1"/>
  <c r="P951" i="1" s="1"/>
  <c r="M952" i="1"/>
  <c r="M953" i="1"/>
  <c r="M954" i="1"/>
  <c r="P954" i="1" s="1"/>
  <c r="M955" i="1"/>
  <c r="P955" i="1" s="1"/>
  <c r="M956" i="1"/>
  <c r="P956" i="1" s="1"/>
  <c r="M957" i="1"/>
  <c r="P957" i="1" s="1"/>
  <c r="M958" i="1"/>
  <c r="P958" i="1" s="1"/>
  <c r="M959" i="1"/>
  <c r="P959" i="1" s="1"/>
  <c r="M960" i="1"/>
  <c r="P960" i="1" s="1"/>
  <c r="M961" i="1"/>
  <c r="M962" i="1"/>
  <c r="P962" i="1" s="1"/>
  <c r="M963" i="1"/>
  <c r="M964" i="1"/>
  <c r="P964" i="1" s="1"/>
  <c r="M965" i="1"/>
  <c r="P965" i="1" s="1"/>
  <c r="M966" i="1"/>
  <c r="P966" i="1" s="1"/>
  <c r="M967" i="1"/>
  <c r="P967" i="1" s="1"/>
  <c r="M968" i="1"/>
  <c r="P968" i="1" s="1"/>
  <c r="M969" i="1"/>
  <c r="P969" i="1" s="1"/>
  <c r="M970" i="1"/>
  <c r="P970" i="1" s="1"/>
  <c r="M971" i="1"/>
  <c r="P971" i="1" s="1"/>
  <c r="M972" i="1"/>
  <c r="M973" i="1"/>
  <c r="P973" i="1" s="1"/>
  <c r="M974" i="1"/>
  <c r="P974" i="1" s="1"/>
  <c r="M975" i="1"/>
  <c r="P975" i="1" s="1"/>
  <c r="M976" i="1"/>
  <c r="P976" i="1" s="1"/>
  <c r="M977" i="1"/>
  <c r="P977" i="1" s="1"/>
  <c r="M978" i="1"/>
  <c r="P978" i="1" s="1"/>
  <c r="M979" i="1"/>
  <c r="P979" i="1" s="1"/>
  <c r="M980" i="1"/>
  <c r="M981" i="1"/>
  <c r="M982" i="1"/>
  <c r="P982" i="1" s="1"/>
  <c r="M983" i="1"/>
  <c r="P983" i="1" s="1"/>
  <c r="M984" i="1"/>
  <c r="P984" i="1" s="1"/>
  <c r="M985" i="1"/>
  <c r="P985" i="1" s="1"/>
  <c r="M986" i="1"/>
  <c r="P986" i="1" s="1"/>
  <c r="M987" i="1"/>
  <c r="P987" i="1" s="1"/>
  <c r="M988" i="1"/>
  <c r="P988" i="1" s="1"/>
  <c r="M989" i="1"/>
  <c r="M990" i="1"/>
  <c r="M991" i="1"/>
  <c r="P991" i="1" s="1"/>
  <c r="M992" i="1"/>
  <c r="P992" i="1" s="1"/>
  <c r="M993" i="1"/>
  <c r="P993" i="1" s="1"/>
  <c r="M994" i="1"/>
  <c r="P994" i="1" s="1"/>
  <c r="M995" i="1"/>
  <c r="P995" i="1" s="1"/>
  <c r="M996" i="1"/>
  <c r="P996" i="1" s="1"/>
  <c r="M997" i="1"/>
  <c r="P997" i="1" s="1"/>
  <c r="M998" i="1"/>
  <c r="P998" i="1" s="1"/>
  <c r="M999" i="1"/>
  <c r="P999" i="1" s="1"/>
  <c r="M1000" i="1"/>
  <c r="P1000" i="1" s="1"/>
  <c r="M1001" i="1"/>
  <c r="P1001" i="1" s="1"/>
</calcChain>
</file>

<file path=xl/sharedStrings.xml><?xml version="1.0" encoding="utf-8"?>
<sst xmlns="http://schemas.openxmlformats.org/spreadsheetml/2006/main" count="7071" uniqueCount="1089">
  <si>
    <t>Order_ID</t>
  </si>
  <si>
    <t>Date</t>
  </si>
  <si>
    <t>Month</t>
  </si>
  <si>
    <t>Quarter</t>
  </si>
  <si>
    <t>City</t>
  </si>
  <si>
    <t>Category</t>
  </si>
  <si>
    <t>Product_Name</t>
  </si>
  <si>
    <t>Units_Sold</t>
  </si>
  <si>
    <t>Price_INR</t>
  </si>
  <si>
    <t>Discount_%</t>
  </si>
  <si>
    <t>Revenue_INR</t>
  </si>
  <si>
    <t>Sales_Rep</t>
  </si>
  <si>
    <t>WD0317</t>
  </si>
  <si>
    <t>January</t>
  </si>
  <si>
    <t>Q1</t>
  </si>
  <si>
    <t>Kolkata</t>
  </si>
  <si>
    <t>Accessories</t>
  </si>
  <si>
    <t>Cap</t>
  </si>
  <si>
    <t>Arjun Chatterjee</t>
  </si>
  <si>
    <t>WD0114</t>
  </si>
  <si>
    <t>Mumbai</t>
  </si>
  <si>
    <t>Trousers</t>
  </si>
  <si>
    <t>Formal Black Trousers</t>
  </si>
  <si>
    <t>Priya Patel</t>
  </si>
  <si>
    <t>WD0628</t>
  </si>
  <si>
    <t>Hyderabad</t>
  </si>
  <si>
    <t>Ethnic Wear</t>
  </si>
  <si>
    <t>Sherwani</t>
  </si>
  <si>
    <t>Ananya Rao</t>
  </si>
  <si>
    <t>WD0307</t>
  </si>
  <si>
    <t>WD0659</t>
  </si>
  <si>
    <t>Dresses</t>
  </si>
  <si>
    <t>Casual Sundress</t>
  </si>
  <si>
    <t>WD0643</t>
  </si>
  <si>
    <t>Delhi</t>
  </si>
  <si>
    <t>Wrap Dress</t>
  </si>
  <si>
    <t>Kavya Malhotra</t>
  </si>
  <si>
    <t>WD0824</t>
  </si>
  <si>
    <t>Evening Gown</t>
  </si>
  <si>
    <t>Rahul Sharma</t>
  </si>
  <si>
    <t>WD0050</t>
  </si>
  <si>
    <t>Handbag</t>
  </si>
  <si>
    <t>Vikram Reddy</t>
  </si>
  <si>
    <t>WD0888</t>
  </si>
  <si>
    <t>Silk Scarf</t>
  </si>
  <si>
    <t>Neha Gupta</t>
  </si>
  <si>
    <t>WD0043</t>
  </si>
  <si>
    <t>Jackets</t>
  </si>
  <si>
    <t>Bomber Jacket</t>
  </si>
  <si>
    <t>Rohit Singh</t>
  </si>
  <si>
    <t>WD0527</t>
  </si>
  <si>
    <t>Leather Jacket</t>
  </si>
  <si>
    <t>WD0555</t>
  </si>
  <si>
    <t>Shreya Das</t>
  </si>
  <si>
    <t>WD0034</t>
  </si>
  <si>
    <t>Denim Jacket</t>
  </si>
  <si>
    <t>WD0101</t>
  </si>
  <si>
    <t>WD0283</t>
  </si>
  <si>
    <t>Lehenga</t>
  </si>
  <si>
    <t>WD0911</t>
  </si>
  <si>
    <t>Shirts</t>
  </si>
  <si>
    <t>Classic White Shirt</t>
  </si>
  <si>
    <t>WD0229</t>
  </si>
  <si>
    <t>WD0472</t>
  </si>
  <si>
    <t>WD0515</t>
  </si>
  <si>
    <t>WD0526</t>
  </si>
  <si>
    <t>Suresh Kumar</t>
  </si>
  <si>
    <t>WD0821</t>
  </si>
  <si>
    <t>WD0927</t>
  </si>
  <si>
    <t>Leather Belt</t>
  </si>
  <si>
    <t>WD0227</t>
  </si>
  <si>
    <t>Cargo Trousers</t>
  </si>
  <si>
    <t>WD0265</t>
  </si>
  <si>
    <t>WD0189</t>
  </si>
  <si>
    <t>WD0087</t>
  </si>
  <si>
    <t>Slim Fit Chinos</t>
  </si>
  <si>
    <t>WD0783</t>
  </si>
  <si>
    <t>Amit Shah</t>
  </si>
  <si>
    <t>WD0742</t>
  </si>
  <si>
    <t>WD0401</t>
  </si>
  <si>
    <t>Kurta Set</t>
  </si>
  <si>
    <t>WD0506</t>
  </si>
  <si>
    <t>Saree</t>
  </si>
  <si>
    <t>WD0754</t>
  </si>
  <si>
    <t>WD0726</t>
  </si>
  <si>
    <t>Casual Polo</t>
  </si>
  <si>
    <t>WD0446</t>
  </si>
  <si>
    <t>WD0812</t>
  </si>
  <si>
    <t>WD0613</t>
  </si>
  <si>
    <t>WD0056</t>
  </si>
  <si>
    <t>WD0552</t>
  </si>
  <si>
    <t>WD0302</t>
  </si>
  <si>
    <t>Dipankar Bose</t>
  </si>
  <si>
    <t>WD0833</t>
  </si>
  <si>
    <t>Jogger Pants</t>
  </si>
  <si>
    <t>WD0052</t>
  </si>
  <si>
    <t>WD0947</t>
  </si>
  <si>
    <t>WD0600</t>
  </si>
  <si>
    <t>WD0334</t>
  </si>
  <si>
    <t>Formal Blue Shirt</t>
  </si>
  <si>
    <t>WD0197</t>
  </si>
  <si>
    <t>WD0885</t>
  </si>
  <si>
    <t>Blazer</t>
  </si>
  <si>
    <t>WD0995</t>
  </si>
  <si>
    <t>WD0239</t>
  </si>
  <si>
    <t>WD0006</t>
  </si>
  <si>
    <t>WD0996</t>
  </si>
  <si>
    <t>WD0822</t>
  </si>
  <si>
    <t>WD0563</t>
  </si>
  <si>
    <t>WD0417</t>
  </si>
  <si>
    <t>WD0959</t>
  </si>
  <si>
    <t>WD0325</t>
  </si>
  <si>
    <t>WD0696</t>
  </si>
  <si>
    <t>WD0048</t>
  </si>
  <si>
    <t>WD0729</t>
  </si>
  <si>
    <t>WD0496</t>
  </si>
  <si>
    <t>WD0860</t>
  </si>
  <si>
    <t>WD0925</t>
  </si>
  <si>
    <t>WD0326</t>
  </si>
  <si>
    <t>WD0144</t>
  </si>
  <si>
    <t>WD0479</t>
  </si>
  <si>
    <t>WD0194</t>
  </si>
  <si>
    <t>WD0946</t>
  </si>
  <si>
    <t>WD0352</t>
  </si>
  <si>
    <t>Striped Shirt</t>
  </si>
  <si>
    <t>WD0439</t>
  </si>
  <si>
    <t>WD0890</t>
  </si>
  <si>
    <t>WD0037</t>
  </si>
  <si>
    <t>WD0746</t>
  </si>
  <si>
    <t>WD0316</t>
  </si>
  <si>
    <t>WD0984</t>
  </si>
  <si>
    <t>Floral Maxi Dress</t>
  </si>
  <si>
    <t>WD0407</t>
  </si>
  <si>
    <t>WD0027</t>
  </si>
  <si>
    <t>WD0079</t>
  </si>
  <si>
    <t>February</t>
  </si>
  <si>
    <t>WD0875</t>
  </si>
  <si>
    <t>WD0894</t>
  </si>
  <si>
    <t>WD0167</t>
  </si>
  <si>
    <t>WD0638</t>
  </si>
  <si>
    <t>WD0318</t>
  </si>
  <si>
    <t>WD0238</t>
  </si>
  <si>
    <t>WD0442</t>
  </si>
  <si>
    <t>WD0231</t>
  </si>
  <si>
    <t>WD0466</t>
  </si>
  <si>
    <t>WD0109</t>
  </si>
  <si>
    <t>WD0816</t>
  </si>
  <si>
    <t>WD0039</t>
  </si>
  <si>
    <t>WD0901</t>
  </si>
  <si>
    <t>WD0044</t>
  </si>
  <si>
    <t>WD0023</t>
  </si>
  <si>
    <t>WD0673</t>
  </si>
  <si>
    <t>WD0058</t>
  </si>
  <si>
    <t>WD0652</t>
  </si>
  <si>
    <t>WD0744</t>
  </si>
  <si>
    <t>WD0259</t>
  </si>
  <si>
    <t>WD0930</t>
  </si>
  <si>
    <t>WD0070</t>
  </si>
  <si>
    <t>WD0458</t>
  </si>
  <si>
    <t>WD0681</t>
  </si>
  <si>
    <t>WD0412</t>
  </si>
  <si>
    <t>WD0217</t>
  </si>
  <si>
    <t>WD0747</t>
  </si>
  <si>
    <t>WD0994</t>
  </si>
  <si>
    <t>WD0358</t>
  </si>
  <si>
    <t>WD0918</t>
  </si>
  <si>
    <t>WD0351</t>
  </si>
  <si>
    <t>WD0658</t>
  </si>
  <si>
    <t>WD0362</t>
  </si>
  <si>
    <t>WD0707</t>
  </si>
  <si>
    <t>WD0384</t>
  </si>
  <si>
    <t>WD0805</t>
  </si>
  <si>
    <t>WD0306</t>
  </si>
  <si>
    <t>WD0405</t>
  </si>
  <si>
    <t>WD0837</t>
  </si>
  <si>
    <t>WD0300</t>
  </si>
  <si>
    <t>WD0768</t>
  </si>
  <si>
    <t>WD0666</t>
  </si>
  <si>
    <t>WD0182</t>
  </si>
  <si>
    <t>WD0903</t>
  </si>
  <si>
    <t>WD0207</t>
  </si>
  <si>
    <t>WD0168</t>
  </si>
  <si>
    <t>WD0941</t>
  </si>
  <si>
    <t>WD0414</t>
  </si>
  <si>
    <t>WD0409</t>
  </si>
  <si>
    <t>WD0706</t>
  </si>
  <si>
    <t>WD0271</t>
  </si>
  <si>
    <t>WD0179</t>
  </si>
  <si>
    <t>WD0886</t>
  </si>
  <si>
    <t>WD0835</t>
  </si>
  <si>
    <t>WD0561</t>
  </si>
  <si>
    <t>WD0143</t>
  </si>
  <si>
    <t>WD0138</t>
  </si>
  <si>
    <t>WD0475</t>
  </si>
  <si>
    <t>WD0640</t>
  </si>
  <si>
    <t>WD0209</t>
  </si>
  <si>
    <t>WD0365</t>
  </si>
  <si>
    <t>WD0001</t>
  </si>
  <si>
    <t>WD0424</t>
  </si>
  <si>
    <t>WD0005</t>
  </si>
  <si>
    <t>WD0567</t>
  </si>
  <si>
    <t>WD0072</t>
  </si>
  <si>
    <t>WD0913</t>
  </si>
  <si>
    <t>WD0749</t>
  </si>
  <si>
    <t>WD0270</t>
  </si>
  <si>
    <t>WD0850</t>
  </si>
  <si>
    <t>WD0363</t>
  </si>
  <si>
    <t>WD0684</t>
  </si>
  <si>
    <t>WD0843</t>
  </si>
  <si>
    <t>WD0387</t>
  </si>
  <si>
    <t>WD0032</t>
  </si>
  <si>
    <t>WD0553</t>
  </si>
  <si>
    <t>WD0813</t>
  </si>
  <si>
    <t>WD0060</t>
  </si>
  <si>
    <t>WD0560</t>
  </si>
  <si>
    <t>WD0878</t>
  </si>
  <si>
    <t>WD0130</t>
  </si>
  <si>
    <t>WD0088</t>
  </si>
  <si>
    <t>WD0186</t>
  </si>
  <si>
    <t>WD0392</t>
  </si>
  <si>
    <t>WD0840</t>
  </si>
  <si>
    <t>WD0395</t>
  </si>
  <si>
    <t>WD0788</t>
  </si>
  <si>
    <t>March</t>
  </si>
  <si>
    <t>WD0645</t>
  </si>
  <si>
    <t>WD0252</t>
  </si>
  <si>
    <t>WD0539</t>
  </si>
  <si>
    <t>WD0309</t>
  </si>
  <si>
    <t>WD0761</t>
  </si>
  <si>
    <t>WD0092</t>
  </si>
  <si>
    <t>WD0540</t>
  </si>
  <si>
    <t>WD0423</t>
  </si>
  <si>
    <t>WD0256</t>
  </si>
  <si>
    <t>WD0464</t>
  </si>
  <si>
    <t>WD0073</t>
  </si>
  <si>
    <t>WD0261</t>
  </si>
  <si>
    <t>WD0224</t>
  </si>
  <si>
    <t>WD0169</t>
  </si>
  <si>
    <t>WD0263</t>
  </si>
  <si>
    <t>WD0687</t>
  </si>
  <si>
    <t>WD0183</t>
  </si>
  <si>
    <t>WD0364</t>
  </si>
  <si>
    <t>WD0790</t>
  </si>
  <si>
    <t>WD0808</t>
  </si>
  <si>
    <t>WD0764</t>
  </si>
  <si>
    <t>WD0422</t>
  </si>
  <si>
    <t>WD0410</t>
  </si>
  <si>
    <t>WD0991</t>
  </si>
  <si>
    <t>WD0735</t>
  </si>
  <si>
    <t>WD0332</t>
  </si>
  <si>
    <t>WD0425</t>
  </si>
  <si>
    <t>WD0864</t>
  </si>
  <si>
    <t>WD0311</t>
  </si>
  <si>
    <t>WD0319</t>
  </si>
  <si>
    <t>WD0787</t>
  </si>
  <si>
    <t>WD0714</t>
  </si>
  <si>
    <t>WD0471</t>
  </si>
  <si>
    <t>WD0915</t>
  </si>
  <si>
    <t>WD0948</t>
  </si>
  <si>
    <t>WD0784</t>
  </si>
  <si>
    <t>WD0280</t>
  </si>
  <si>
    <t>WD0396</t>
  </si>
  <si>
    <t>WD0281</t>
  </si>
  <si>
    <t>WD0631</t>
  </si>
  <si>
    <t>WD0582</t>
  </si>
  <si>
    <t>WD0916</t>
  </si>
  <si>
    <t>WD0213</t>
  </si>
  <si>
    <t>WD0988</t>
  </si>
  <si>
    <t>WD0232</t>
  </si>
  <si>
    <t>WD0356</t>
  </si>
  <si>
    <t>WD0542</t>
  </si>
  <si>
    <t>WD0593</t>
  </si>
  <si>
    <t>WD0637</t>
  </si>
  <si>
    <t>WD0724</t>
  </si>
  <si>
    <t>WD0694</t>
  </si>
  <si>
    <t>WD0924</t>
  </si>
  <si>
    <t>WD0541</t>
  </si>
  <si>
    <t>WD0954</t>
  </si>
  <si>
    <t>WD0834</t>
  </si>
  <si>
    <t>WD0203</t>
  </si>
  <si>
    <t>WD0961</t>
  </si>
  <si>
    <t>WD0965</t>
  </si>
  <si>
    <t>WD0437</t>
  </si>
  <si>
    <t>WD0418</t>
  </si>
  <si>
    <t>WD0781</t>
  </si>
  <si>
    <t>WD0004</t>
  </si>
  <si>
    <t>WD0519</t>
  </si>
  <si>
    <t>WD0016</t>
  </si>
  <si>
    <t>WD0702</t>
  </si>
  <si>
    <t>WD0494</t>
  </si>
  <si>
    <t>WD0124</t>
  </si>
  <si>
    <t>WD0440</t>
  </si>
  <si>
    <t>WD0610</t>
  </si>
  <si>
    <t>WD0730</t>
  </si>
  <si>
    <t>WD0566</t>
  </si>
  <si>
    <t>WD0701</t>
  </si>
  <si>
    <t>WD0750</t>
  </si>
  <si>
    <t>WD0201</t>
  </si>
  <si>
    <t>WD0806</t>
  </si>
  <si>
    <t>WD0759</t>
  </si>
  <si>
    <t>WD0513</t>
  </si>
  <si>
    <t>WD0562</t>
  </si>
  <si>
    <t>WD0122</t>
  </si>
  <si>
    <t>WD0825</t>
  </si>
  <si>
    <t>WD0879</t>
  </si>
  <si>
    <t>WD0586</t>
  </si>
  <si>
    <t>WD0301</t>
  </si>
  <si>
    <t>WD0711</t>
  </si>
  <si>
    <t>WD0448</t>
  </si>
  <si>
    <t>April</t>
  </si>
  <si>
    <t>Q2</t>
  </si>
  <si>
    <t>WD0895</t>
  </si>
  <si>
    <t>WD0802</t>
  </si>
  <si>
    <t>WD0244</t>
  </si>
  <si>
    <t>WD0921</t>
  </si>
  <si>
    <t>WD0719</t>
  </si>
  <si>
    <t>WD0389</t>
  </si>
  <si>
    <t>WD0721</t>
  </si>
  <si>
    <t>WD0323</t>
  </si>
  <si>
    <t>WD0287</t>
  </si>
  <si>
    <t>WD0906</t>
  </si>
  <si>
    <t>WD0507</t>
  </si>
  <si>
    <t>WD0104</t>
  </si>
  <si>
    <t>WD0887</t>
  </si>
  <si>
    <t>WD0451</t>
  </si>
  <si>
    <t>WD0069</t>
  </si>
  <si>
    <t>WD0766</t>
  </si>
  <si>
    <t>WD0776</t>
  </si>
  <si>
    <t>WD0904</t>
  </si>
  <si>
    <t>WD0480</t>
  </si>
  <si>
    <t>WD0662</t>
  </si>
  <si>
    <t>WD0430</t>
  </si>
  <si>
    <t>WD0185</t>
  </si>
  <si>
    <t>WD0113</t>
  </si>
  <si>
    <t>WD0551</t>
  </si>
  <si>
    <t>WD0525</t>
  </si>
  <si>
    <t>WD0067</t>
  </si>
  <si>
    <t>WD0611</t>
  </si>
  <si>
    <t>WD0856</t>
  </si>
  <si>
    <t>WD0934</t>
  </si>
  <si>
    <t>WD0968</t>
  </si>
  <si>
    <t>WD0015</t>
  </si>
  <si>
    <t>WD0993</t>
  </si>
  <si>
    <t>WD0674</t>
  </si>
  <si>
    <t>WD0158</t>
  </si>
  <si>
    <t>WD0111</t>
  </si>
  <si>
    <t>WD0262</t>
  </si>
  <si>
    <t>WD0142</t>
  </si>
  <si>
    <t>WD0929</t>
  </si>
  <si>
    <t>WD0008</t>
  </si>
  <si>
    <t>WD0057</t>
  </si>
  <si>
    <t>WD0935</t>
  </si>
  <si>
    <t>WD0012</t>
  </si>
  <si>
    <t>WD0693</t>
  </si>
  <si>
    <t>WD0152</t>
  </si>
  <si>
    <t>WD0956</t>
  </si>
  <si>
    <t>WD0002</t>
  </si>
  <si>
    <t>WD0170</t>
  </si>
  <si>
    <t>WD0722</t>
  </si>
  <si>
    <t>WD0421</t>
  </si>
  <si>
    <t>WD0705</t>
  </si>
  <si>
    <t>WD0575</t>
  </si>
  <si>
    <t>WD0596</t>
  </si>
  <si>
    <t>May</t>
  </si>
  <si>
    <t>WD0172</t>
  </si>
  <si>
    <t>WD0431</t>
  </si>
  <si>
    <t>WD0129</t>
  </si>
  <si>
    <t>WD0438</t>
  </si>
  <si>
    <t>WD0349</t>
  </si>
  <si>
    <t>WD0324</t>
  </si>
  <si>
    <t>WD0274</t>
  </si>
  <si>
    <t>WD0532</t>
  </si>
  <si>
    <t>WD0336</t>
  </si>
  <si>
    <t>WD0367</t>
  </si>
  <si>
    <t>WD0647</t>
  </si>
  <si>
    <t>WD0297</t>
  </si>
  <si>
    <t>WD0677</t>
  </si>
  <si>
    <t>WD0445</t>
  </si>
  <si>
    <t>WD0267</t>
  </si>
  <si>
    <t>WD0341</t>
  </si>
  <si>
    <t>WD0798</t>
  </si>
  <si>
    <t>WD0767</t>
  </si>
  <si>
    <t>WD0547</t>
  </si>
  <si>
    <t>WD0429</t>
  </si>
  <si>
    <t>WD0251</t>
  </si>
  <si>
    <t>WD0223</t>
  </si>
  <si>
    <t>WD0725</t>
  </si>
  <si>
    <t>WD0898</t>
  </si>
  <si>
    <t>WD0240</t>
  </si>
  <si>
    <t>WD0623</t>
  </si>
  <si>
    <t>WD0235</t>
  </si>
  <si>
    <t>WD0892</t>
  </si>
  <si>
    <t>WD0601</t>
  </si>
  <si>
    <t>WD0490</t>
  </si>
  <si>
    <t>WD0819</t>
  </si>
  <si>
    <t>WD0690</t>
  </si>
  <si>
    <t>WD0661</t>
  </si>
  <si>
    <t>WD0680</t>
  </si>
  <si>
    <t>WD0019</t>
  </si>
  <si>
    <t>WD0434</t>
  </si>
  <si>
    <t>WD0757</t>
  </si>
  <si>
    <t>WD0683</t>
  </si>
  <si>
    <t>WD0046</t>
  </si>
  <si>
    <t>WD0276</t>
  </si>
  <si>
    <t>WD0159</t>
  </si>
  <si>
    <t>WD0018</t>
  </si>
  <si>
    <t>WD0117</t>
  </si>
  <si>
    <t>WD0503</t>
  </si>
  <si>
    <t>WD0682</t>
  </si>
  <si>
    <t>WD0368</t>
  </si>
  <si>
    <t>WD0441</t>
  </si>
  <si>
    <t>WD0296</t>
  </si>
  <si>
    <t>WD0945</t>
  </si>
  <si>
    <t>WD0794</t>
  </si>
  <si>
    <t>WD0119</t>
  </si>
  <si>
    <t>WD0293</t>
  </si>
  <si>
    <t>WD0528</t>
  </si>
  <si>
    <t>WD0469</t>
  </si>
  <si>
    <t>WD0686</t>
  </si>
  <si>
    <t>WD0105</t>
  </si>
  <si>
    <t>WD0839</t>
  </si>
  <si>
    <t>WD0756</t>
  </si>
  <si>
    <t>WD0099</t>
  </si>
  <si>
    <t>WD0998</t>
  </si>
  <si>
    <t>WD0877</t>
  </si>
  <si>
    <t>WD0291</t>
  </si>
  <si>
    <t>WD0644</t>
  </si>
  <si>
    <t>WD0474</t>
  </si>
  <si>
    <t>WD0933</t>
  </si>
  <si>
    <t>WD0823</t>
  </si>
  <si>
    <t>WD0557</t>
  </si>
  <si>
    <t>WD1000</t>
  </si>
  <si>
    <t>WD0626</t>
  </si>
  <si>
    <t>WD0800</t>
  </si>
  <si>
    <t>WD0228</t>
  </si>
  <si>
    <t>WD0953</t>
  </si>
  <si>
    <t>WD0874</t>
  </si>
  <si>
    <t>WD0195</t>
  </si>
  <si>
    <t>WD0978</t>
  </si>
  <si>
    <t>WD0617</t>
  </si>
  <si>
    <t>WD0255</t>
  </si>
  <si>
    <t>WD0457</t>
  </si>
  <si>
    <t>WD0500</t>
  </si>
  <si>
    <t>WD0485</t>
  </si>
  <si>
    <t>WD0493</t>
  </si>
  <si>
    <t>WD0157</t>
  </si>
  <si>
    <t>WD0330</t>
  </si>
  <si>
    <t>June</t>
  </si>
  <si>
    <t>WD0980</t>
  </si>
  <si>
    <t>WD0282</t>
  </si>
  <si>
    <t>WD0755</t>
  </si>
  <si>
    <t>WD0815</t>
  </si>
  <si>
    <t>WD0230</t>
  </si>
  <si>
    <t>WD0964</t>
  </si>
  <si>
    <t>WD0106</t>
  </si>
  <si>
    <t>WD0149</t>
  </si>
  <si>
    <t>WD0883</t>
  </si>
  <si>
    <t>WD0045</t>
  </si>
  <si>
    <t>WD0162</t>
  </si>
  <si>
    <t>WD0335</t>
  </si>
  <si>
    <t>WD0066</t>
  </si>
  <si>
    <t>WD0110</t>
  </si>
  <si>
    <t>WD0548</t>
  </si>
  <si>
    <t>WD0958</t>
  </si>
  <si>
    <t>WD0112</t>
  </si>
  <si>
    <t>WD0245</t>
  </si>
  <si>
    <t>WD0022</t>
  </si>
  <si>
    <t>WD0663</t>
  </si>
  <si>
    <t>WD0460</t>
  </si>
  <si>
    <t>WD0453</t>
  </si>
  <si>
    <t>WD0538</t>
  </si>
  <si>
    <t>WD0912</t>
  </si>
  <si>
    <t>WD0154</t>
  </si>
  <si>
    <t>WD0214</t>
  </si>
  <si>
    <t>WD0216</t>
  </si>
  <si>
    <t>WD0708</t>
  </si>
  <si>
    <t>WD0712</t>
  </si>
  <si>
    <t>WD0310</t>
  </si>
  <si>
    <t>WD0838</t>
  </si>
  <si>
    <t>WD0190</t>
  </si>
  <si>
    <t>WD0449</t>
  </si>
  <si>
    <t>WD0181</t>
  </si>
  <si>
    <t>WD0589</t>
  </si>
  <si>
    <t>WD0660</t>
  </si>
  <si>
    <t>WD0576</t>
  </si>
  <si>
    <t>WD0615</t>
  </si>
  <si>
    <t>WD0013</t>
  </si>
  <si>
    <t>WD0963</t>
  </si>
  <si>
    <t>WD0484</t>
  </si>
  <si>
    <t>WD0447</t>
  </si>
  <si>
    <t>WD0762</t>
  </si>
  <si>
    <t>WD0386</t>
  </si>
  <si>
    <t>WD0269</t>
  </si>
  <si>
    <t>WD0517</t>
  </si>
  <si>
    <t>WD0327</t>
  </si>
  <si>
    <t>WD0473</t>
  </si>
  <si>
    <t>WD0483</t>
  </si>
  <si>
    <t>WD0481</t>
  </si>
  <si>
    <t>WD0591</t>
  </si>
  <si>
    <t>WD0120</t>
  </si>
  <si>
    <t>WD0096</t>
  </si>
  <si>
    <t>WD0848</t>
  </si>
  <si>
    <t>WD0928</t>
  </si>
  <si>
    <t>WD0854</t>
  </si>
  <si>
    <t>WD0937</t>
  </si>
  <si>
    <t>WD0155</t>
  </si>
  <si>
    <t>WD0161</t>
  </si>
  <si>
    <t>WD0272</t>
  </si>
  <si>
    <t>WD0314</t>
  </si>
  <si>
    <t>WD0064</t>
  </si>
  <si>
    <t>WD0388</t>
  </si>
  <si>
    <t>WD0103</t>
  </si>
  <si>
    <t>WD0574</t>
  </si>
  <si>
    <t>WD0059</t>
  </si>
  <si>
    <t>WD0467</t>
  </si>
  <si>
    <t>WD0304</t>
  </si>
  <si>
    <t>WD0605</t>
  </si>
  <si>
    <t>WD0489</t>
  </si>
  <si>
    <t>WD0077</t>
  </si>
  <si>
    <t>WD0976</t>
  </si>
  <si>
    <t>WD0416</t>
  </si>
  <si>
    <t>WD0305</t>
  </si>
  <si>
    <t>WD0085</t>
  </si>
  <si>
    <t>WD0914</t>
  </si>
  <si>
    <t>WD0026</t>
  </si>
  <si>
    <t>WD0665</t>
  </si>
  <si>
    <t>WD0211</t>
  </si>
  <si>
    <t>WD0359</t>
  </si>
  <si>
    <t>WD0989</t>
  </si>
  <si>
    <t>WD0880</t>
  </si>
  <si>
    <t>WD0047</t>
  </si>
  <si>
    <t>WD0882</t>
  </si>
  <si>
    <t>WD0622</t>
  </si>
  <si>
    <t>WD0512</t>
  </si>
  <si>
    <t>WD0294</t>
  </si>
  <si>
    <t>WD0590</t>
  </si>
  <si>
    <t>WD0488</t>
  </si>
  <si>
    <t>WD0922</t>
  </si>
  <si>
    <t>WD0889</t>
  </si>
  <si>
    <t>WD0188</t>
  </si>
  <si>
    <t>WD0406</t>
  </si>
  <si>
    <t>WD0426</t>
  </si>
  <si>
    <t>WD0246</t>
  </si>
  <si>
    <t>WD0672</t>
  </si>
  <si>
    <t>WD0829</t>
  </si>
  <si>
    <t>WD0462</t>
  </si>
  <si>
    <t>July</t>
  </si>
  <si>
    <t>Q3</t>
  </si>
  <si>
    <t>WD0568</t>
  </si>
  <si>
    <t>WD0550</t>
  </si>
  <si>
    <t>WD0932</t>
  </si>
  <si>
    <t>WD0595</t>
  </si>
  <si>
    <t>WD0985</t>
  </si>
  <si>
    <t>WD0639</t>
  </si>
  <si>
    <t>WD0671</t>
  </si>
  <si>
    <t>WD0313</t>
  </si>
  <si>
    <t>WD0127</t>
  </si>
  <si>
    <t>WD0982</t>
  </si>
  <si>
    <t>WD0375</t>
  </si>
  <si>
    <t>WD0247</t>
  </si>
  <si>
    <t>WD0009</t>
  </si>
  <si>
    <t>WD0692</t>
  </si>
  <si>
    <t>WD0482</t>
  </si>
  <si>
    <t>WD0635</t>
  </si>
  <si>
    <t>WD0403</t>
  </si>
  <si>
    <t>WD0691</t>
  </si>
  <si>
    <t>WD0869</t>
  </si>
  <si>
    <t>WD0713</t>
  </si>
  <si>
    <t>WD0257</t>
  </si>
  <si>
    <t>WD0333</t>
  </si>
  <si>
    <t>WD0502</t>
  </si>
  <si>
    <t>WD0667</t>
  </si>
  <si>
    <t>WD0832</t>
  </si>
  <si>
    <t>WD0420</t>
  </si>
  <si>
    <t>WD0530</t>
  </si>
  <si>
    <t>WD0546</t>
  </si>
  <si>
    <t>WD0641</t>
  </si>
  <si>
    <t>WD0320</t>
  </si>
  <si>
    <t>WD0080</t>
  </si>
  <si>
    <t>WD0196</t>
  </si>
  <si>
    <t>WD0337</t>
  </si>
  <si>
    <t>WD0618</t>
  </si>
  <si>
    <t>WD0222</t>
  </si>
  <si>
    <t>WD0137</t>
  </si>
  <si>
    <t>WD0760</t>
  </si>
  <si>
    <t>WD0249</t>
  </si>
  <si>
    <t>WD0428</t>
  </si>
  <si>
    <t>WD0399</t>
  </si>
  <si>
    <t>WD0863</t>
  </si>
  <si>
    <t>WD0881</t>
  </si>
  <si>
    <t>WD0608</t>
  </si>
  <si>
    <t>WD0061</t>
  </si>
  <si>
    <t>WD0366</t>
  </si>
  <si>
    <t>WD0743</t>
  </si>
  <si>
    <t>WD0777</t>
  </si>
  <si>
    <t>WD0476</t>
  </si>
  <si>
    <t>WD0740</t>
  </si>
  <si>
    <t>WD0357</t>
  </si>
  <si>
    <t>WD0727</t>
  </si>
  <si>
    <t>WD0082</t>
  </si>
  <si>
    <t>WD0619</t>
  </si>
  <si>
    <t>WD0583</t>
  </si>
  <si>
    <t>WD0763</t>
  </si>
  <si>
    <t>WD0226</t>
  </si>
  <si>
    <t>WD0468</t>
  </si>
  <si>
    <t>WD0415</t>
  </si>
  <si>
    <t>WD0071</t>
  </si>
  <si>
    <t>WD0765</t>
  </si>
  <si>
    <t>WD0758</t>
  </si>
  <si>
    <t>WD0176</t>
  </si>
  <si>
    <t>WD0035</t>
  </si>
  <si>
    <t>WD0545</t>
  </si>
  <si>
    <t>WD0126</t>
  </si>
  <si>
    <t>WD0350</t>
  </si>
  <si>
    <t>WD0909</t>
  </si>
  <si>
    <t>WD0943</t>
  </si>
  <si>
    <t>WD0463</t>
  </si>
  <si>
    <t>WD0518</t>
  </si>
  <si>
    <t>WD0675</t>
  </si>
  <si>
    <t>WD0377</t>
  </si>
  <si>
    <t>WD0347</t>
  </si>
  <si>
    <t>WD0288</t>
  </si>
  <si>
    <t>WD0789</t>
  </si>
  <si>
    <t>WD0569</t>
  </si>
  <si>
    <t>WD0054</t>
  </si>
  <si>
    <t>WD0491</t>
  </si>
  <si>
    <t>WD0180</t>
  </si>
  <si>
    <t>WD0977</t>
  </si>
  <si>
    <t>WD0133</t>
  </si>
  <si>
    <t>WD0592</t>
  </si>
  <si>
    <t>August</t>
  </si>
  <si>
    <t>WD0919</t>
  </si>
  <si>
    <t>WD0266</t>
  </si>
  <si>
    <t>WD0340</t>
  </si>
  <si>
    <t>WD0938</t>
  </si>
  <si>
    <t>WD0505</t>
  </si>
  <si>
    <t>WD0807</t>
  </si>
  <si>
    <t>WD0003</t>
  </si>
  <si>
    <t>WD0081</t>
  </si>
  <si>
    <t>WD0433</t>
  </si>
  <si>
    <t>WD0173</t>
  </si>
  <si>
    <t>WD0378</t>
  </si>
  <si>
    <t>WD0893</t>
  </si>
  <si>
    <t>WD0972</t>
  </si>
  <si>
    <t>WD0785</t>
  </si>
  <si>
    <t>WD0796</t>
  </si>
  <si>
    <t>WD0030</t>
  </si>
  <si>
    <t>WD0862</t>
  </si>
  <si>
    <t>WD0612</t>
  </si>
  <si>
    <t>WD0884</t>
  </si>
  <si>
    <t>WD0225</t>
  </si>
  <si>
    <t>WD0248</t>
  </si>
  <si>
    <t>WD0795</t>
  </si>
  <si>
    <t>WD0210</t>
  </si>
  <si>
    <t>WD0268</t>
  </si>
  <si>
    <t>WD0108</t>
  </si>
  <si>
    <t>WD0962</t>
  </si>
  <si>
    <t>WD0242</t>
  </si>
  <si>
    <t>WD0770</t>
  </si>
  <si>
    <t>WD0205</t>
  </si>
  <si>
    <t>WD0427</t>
  </si>
  <si>
    <t>WD0974</t>
  </si>
  <si>
    <t>WD0751</t>
  </si>
  <si>
    <t>WD0992</t>
  </si>
  <si>
    <t>WD0897</t>
  </si>
  <si>
    <t>WD0148</t>
  </si>
  <si>
    <t>WD0295</t>
  </si>
  <si>
    <t>WD0192</t>
  </si>
  <si>
    <t>WD0598</t>
  </si>
  <si>
    <t>WD0220</t>
  </si>
  <si>
    <t>WD0166</t>
  </si>
  <si>
    <t>WD0254</t>
  </si>
  <si>
    <t>WD0250</t>
  </si>
  <si>
    <t>WD0973</t>
  </si>
  <si>
    <t>WD0700</t>
  </si>
  <si>
    <t>WD0523</t>
  </si>
  <si>
    <t>WD0970</t>
  </si>
  <si>
    <t>WD0599</t>
  </si>
  <si>
    <t>WD0390</t>
  </si>
  <si>
    <t>WD0773</t>
  </si>
  <si>
    <t>WD0398</t>
  </si>
  <si>
    <t>WD0908</t>
  </si>
  <si>
    <t>WD0867</t>
  </si>
  <si>
    <t>WD0588</t>
  </si>
  <si>
    <t>WD0803</t>
  </si>
  <si>
    <t>WD0931</t>
  </si>
  <si>
    <t>WD0413</t>
  </si>
  <si>
    <t>WD0036</t>
  </si>
  <si>
    <t>WD0926</t>
  </si>
  <si>
    <t>WD0303</t>
  </si>
  <si>
    <t>WD0579</t>
  </si>
  <si>
    <t>WD0565</t>
  </si>
  <si>
    <t>WD0521</t>
  </si>
  <si>
    <t>WD0866</t>
  </si>
  <si>
    <t>WD0094</t>
  </si>
  <si>
    <t>WD0147</t>
  </si>
  <si>
    <t>WD0849</t>
  </si>
  <si>
    <t>WD0206</t>
  </si>
  <si>
    <t>WD0084</t>
  </si>
  <si>
    <t>WD0624</t>
  </si>
  <si>
    <t>WD0376</t>
  </si>
  <si>
    <t>WD0033</t>
  </si>
  <si>
    <t>WD0827</t>
  </si>
  <si>
    <t>WD0338</t>
  </si>
  <si>
    <t>WD0459</t>
  </si>
  <si>
    <t>WD0745</t>
  </si>
  <si>
    <t>WD0846</t>
  </si>
  <si>
    <t>WD0221</t>
  </si>
  <si>
    <t>WD0298</t>
  </si>
  <si>
    <t>WD0793</t>
  </si>
  <si>
    <t>WD0955</t>
  </si>
  <si>
    <t>WD0936</t>
  </si>
  <si>
    <t>WD0697</t>
  </si>
  <si>
    <t>WD0983</t>
  </si>
  <si>
    <t>WD0075</t>
  </si>
  <si>
    <t>WD0535</t>
  </si>
  <si>
    <t>WD0606</t>
  </si>
  <si>
    <t>WD0810</t>
  </si>
  <si>
    <t>WD0710</t>
  </si>
  <si>
    <t>WD0792</t>
  </si>
  <si>
    <t>September</t>
  </si>
  <si>
    <t>WD0299</t>
  </si>
  <si>
    <t>WD0715</t>
  </si>
  <si>
    <t>WD0646</t>
  </si>
  <si>
    <t>WD0967</t>
  </si>
  <si>
    <t>WD0373</t>
  </si>
  <si>
    <t>WD0258</t>
  </si>
  <si>
    <t>WD0870</t>
  </si>
  <si>
    <t>WD0678</t>
  </si>
  <si>
    <t>WD0902</t>
  </si>
  <si>
    <t>WD0369</t>
  </si>
  <si>
    <t>WD0951</t>
  </si>
  <si>
    <t>WD0957</t>
  </si>
  <si>
    <t>WD0141</t>
  </si>
  <si>
    <t>WD0609</t>
  </si>
  <si>
    <t>WD0098</t>
  </si>
  <si>
    <t>WD0630</t>
  </si>
  <si>
    <t>WD0907</t>
  </si>
  <si>
    <t>WD0165</t>
  </si>
  <si>
    <t>WD0400</t>
  </si>
  <si>
    <t>WD0100</t>
  </si>
  <si>
    <t>WD0343</t>
  </si>
  <si>
    <t>WD0736</t>
  </si>
  <si>
    <t>WD0342</t>
  </si>
  <si>
    <t>WD0896</t>
  </si>
  <si>
    <t>WD0374</t>
  </si>
  <si>
    <t>WD0123</t>
  </si>
  <si>
    <t>WD0360</t>
  </si>
  <si>
    <t>WD0163</t>
  </si>
  <si>
    <t>WD0820</t>
  </si>
  <si>
    <t>WD0402</t>
  </si>
  <si>
    <t>WD0559</t>
  </si>
  <si>
    <t>WD0273</t>
  </si>
  <si>
    <t>WD0585</t>
  </si>
  <si>
    <t>WD0723</t>
  </si>
  <si>
    <t>WD0809</t>
  </si>
  <si>
    <t>WD0868</t>
  </si>
  <si>
    <t>WD0782</t>
  </si>
  <si>
    <t>WD0435</t>
  </si>
  <si>
    <t>WD0950</t>
  </si>
  <si>
    <t>WD0038</t>
  </si>
  <si>
    <t>WD0348</t>
  </si>
  <si>
    <t>WD0573</t>
  </si>
  <si>
    <t>WD0653</t>
  </si>
  <si>
    <t>WD0522</t>
  </si>
  <si>
    <t>WD0632</t>
  </si>
  <si>
    <t>WD0234</t>
  </si>
  <si>
    <t>WD0131</t>
  </si>
  <si>
    <t>WD0315</t>
  </si>
  <si>
    <t>WD0382</t>
  </si>
  <si>
    <t>WD0174</t>
  </si>
  <si>
    <t>WD0676</t>
  </si>
  <si>
    <t>WD0986</t>
  </si>
  <si>
    <t>WD0900</t>
  </si>
  <si>
    <t>WD0718</t>
  </si>
  <si>
    <t>WD0642</t>
  </si>
  <si>
    <t>WD0801</t>
  </si>
  <si>
    <t>WD0670</t>
  </si>
  <si>
    <t>WD0243</t>
  </si>
  <si>
    <t>WD0385</t>
  </si>
  <si>
    <t>WD0549</t>
  </si>
  <si>
    <t>WD0836</t>
  </si>
  <si>
    <t>WD0558</t>
  </si>
  <si>
    <t>WD0920</t>
  </si>
  <si>
    <t>WD0041</t>
  </si>
  <si>
    <t>WD0603</t>
  </si>
  <si>
    <t>WD0817</t>
  </si>
  <si>
    <t>WD0709</t>
  </si>
  <si>
    <t>WD0748</t>
  </si>
  <si>
    <t>WD0321</t>
  </si>
  <si>
    <t>WD0024</t>
  </si>
  <si>
    <t>WD0432</t>
  </si>
  <si>
    <t>WD0017</t>
  </si>
  <si>
    <t>WD0656</t>
  </si>
  <si>
    <t>WD0156</t>
  </si>
  <si>
    <t>WD0021</t>
  </si>
  <si>
    <t>WD0290</t>
  </si>
  <si>
    <t>WD0830</t>
  </si>
  <si>
    <t>WD0910</t>
  </si>
  <si>
    <t>October</t>
  </si>
  <si>
    <t>Q4</t>
  </si>
  <si>
    <t>WD0062</t>
  </si>
  <si>
    <t>WD0312</t>
  </si>
  <si>
    <t>WD0655</t>
  </si>
  <si>
    <t>WD0842</t>
  </si>
  <si>
    <t>WD0171</t>
  </si>
  <si>
    <t>WD0086</t>
  </si>
  <si>
    <t>WD0497</t>
  </si>
  <si>
    <t>WD0685</t>
  </si>
  <si>
    <t>WD0738</t>
  </si>
  <si>
    <t>WD0452</t>
  </si>
  <si>
    <t>WD0504</t>
  </si>
  <si>
    <t>WD0786</t>
  </si>
  <si>
    <t>WD0322</t>
  </si>
  <si>
    <t>WD0355</t>
  </si>
  <si>
    <t>WD0604</t>
  </si>
  <si>
    <t>WD0774</t>
  </si>
  <si>
    <t>WD0554</t>
  </si>
  <si>
    <t>WD0811</t>
  </si>
  <si>
    <t>WD0581</t>
  </si>
  <si>
    <t>WD0716</t>
  </si>
  <si>
    <t>WD0125</t>
  </si>
  <si>
    <t>WD0498</t>
  </si>
  <si>
    <t>WD0728</t>
  </si>
  <si>
    <t>WD0278</t>
  </si>
  <si>
    <t>WD0753</t>
  </si>
  <si>
    <t>WD0128</t>
  </si>
  <si>
    <t>WD0132</t>
  </si>
  <si>
    <t>WD0135</t>
  </si>
  <si>
    <t>WD0260</t>
  </si>
  <si>
    <t>WD0007</t>
  </si>
  <si>
    <t>WD0509</t>
  </si>
  <si>
    <t>WD0633</t>
  </si>
  <si>
    <t>WD0828</t>
  </si>
  <si>
    <t>WD0328</t>
  </si>
  <si>
    <t>WD0536</t>
  </si>
  <si>
    <t>WD0698</t>
  </si>
  <si>
    <t>WD0577</t>
  </si>
  <si>
    <t>WD0279</t>
  </si>
  <si>
    <t>WD0979</t>
  </si>
  <si>
    <t>WD0990</t>
  </si>
  <si>
    <t>WD0537</t>
  </si>
  <si>
    <t>WD0053</t>
  </si>
  <si>
    <t>WD0289</t>
  </si>
  <si>
    <t>WD0014</t>
  </si>
  <si>
    <t>WD0277</t>
  </si>
  <si>
    <t>WD0339</t>
  </si>
  <si>
    <t>WD0478</t>
  </si>
  <si>
    <t>WD0450</t>
  </si>
  <si>
    <t>WD0145</t>
  </si>
  <si>
    <t>WD0443</t>
  </si>
  <si>
    <t>WD0486</t>
  </si>
  <si>
    <t>WD0118</t>
  </si>
  <si>
    <t>WD0520</t>
  </si>
  <si>
    <t>WD0858</t>
  </si>
  <si>
    <t>WD0942</t>
  </si>
  <si>
    <t>WD0136</t>
  </si>
  <si>
    <t>WD0797</t>
  </si>
  <si>
    <t>WD0198</t>
  </si>
  <si>
    <t>WD0873</t>
  </si>
  <si>
    <t>WD0648</t>
  </si>
  <si>
    <t>WD0966</t>
  </si>
  <si>
    <t>WD0150</t>
  </si>
  <si>
    <t>WD0090</t>
  </si>
  <si>
    <t>WD0614</t>
  </si>
  <si>
    <t>WD0121</t>
  </si>
  <si>
    <t>WD0029</t>
  </si>
  <si>
    <t>WD0492</t>
  </si>
  <si>
    <t>WD0544</t>
  </si>
  <si>
    <t>WD0134</t>
  </si>
  <si>
    <t>WD0040</t>
  </si>
  <si>
    <t>WD0204</t>
  </si>
  <si>
    <t>WD0872</t>
  </si>
  <si>
    <t>WD0285</t>
  </si>
  <si>
    <t>WD0917</t>
  </si>
  <si>
    <t>WD0264</t>
  </si>
  <si>
    <t>WD0102</t>
  </si>
  <si>
    <t>WD0949</t>
  </si>
  <si>
    <t>WD0625</t>
  </si>
  <si>
    <t>WD0534</t>
  </si>
  <si>
    <t>WD0651</t>
  </si>
  <si>
    <t>WD0308</t>
  </si>
  <si>
    <t>WD0969</t>
  </si>
  <si>
    <t>WD0051</t>
  </si>
  <si>
    <t>WD0511</t>
  </si>
  <si>
    <t>WD0160</t>
  </si>
  <si>
    <t>WD0393</t>
  </si>
  <si>
    <t>WD0704</t>
  </si>
  <si>
    <t>WD0975</t>
  </si>
  <si>
    <t>WD0634</t>
  </si>
  <si>
    <t>WD0383</t>
  </si>
  <si>
    <t>WD0200</t>
  </si>
  <si>
    <t>WD0844</t>
  </si>
  <si>
    <t>WD0769</t>
  </si>
  <si>
    <t>WD0814</t>
  </si>
  <si>
    <t>WD0621</t>
  </si>
  <si>
    <t>November</t>
  </si>
  <si>
    <t>WD0602</t>
  </si>
  <si>
    <t>WD0779</t>
  </si>
  <si>
    <t>WD0791</t>
  </si>
  <si>
    <t>WD0855</t>
  </si>
  <si>
    <t>WD0649</t>
  </si>
  <si>
    <t>WD0737</t>
  </si>
  <si>
    <t>WD0654</t>
  </si>
  <si>
    <t>WD0997</t>
  </si>
  <si>
    <t>WD0703</t>
  </si>
  <si>
    <t>WD0891</t>
  </si>
  <si>
    <t>WD0971</t>
  </si>
  <si>
    <t>WD0650</t>
  </si>
  <si>
    <t>WD0089</t>
  </si>
  <si>
    <t>WD0699</t>
  </si>
  <si>
    <t>WD0556</t>
  </si>
  <si>
    <t>WD0587</t>
  </si>
  <si>
    <t>WD0177</t>
  </si>
  <si>
    <t>WD0871</t>
  </si>
  <si>
    <t>WD0097</t>
  </si>
  <si>
    <t>WD0999</t>
  </si>
  <si>
    <t>WD0074</t>
  </si>
  <si>
    <t>WD0859</t>
  </si>
  <si>
    <t>WD0607</t>
  </si>
  <si>
    <t>WD0857</t>
  </si>
  <si>
    <t>WD0436</t>
  </si>
  <si>
    <t>WD0095</t>
  </si>
  <si>
    <t>WD0847</t>
  </si>
  <si>
    <t>WD0370</t>
  </si>
  <si>
    <t>WD0571</t>
  </si>
  <si>
    <t>WD0191</t>
  </si>
  <si>
    <t>WD0199</t>
  </si>
  <si>
    <t>WD0218</t>
  </si>
  <si>
    <t>WD0923</t>
  </si>
  <si>
    <t>WD0616</t>
  </si>
  <si>
    <t>WD0851</t>
  </si>
  <si>
    <t>WD0371</t>
  </si>
  <si>
    <t>WD0739</t>
  </si>
  <si>
    <t>WD0146</t>
  </si>
  <si>
    <t>WD0772</t>
  </si>
  <si>
    <t>WD0720</t>
  </si>
  <si>
    <t>WD0083</t>
  </si>
  <si>
    <t>WD0564</t>
  </si>
  <si>
    <t>WD0063</t>
  </si>
  <si>
    <t>WD0876</t>
  </si>
  <si>
    <t>WD0219</t>
  </si>
  <si>
    <t>WD0076</t>
  </si>
  <si>
    <t>WD0116</t>
  </si>
  <si>
    <t>WD0508</t>
  </si>
  <si>
    <t>WD0091</t>
  </si>
  <si>
    <t>WD0944</t>
  </si>
  <si>
    <t>WD0236</t>
  </si>
  <si>
    <t>WD0799</t>
  </si>
  <si>
    <t>WD0286</t>
  </si>
  <si>
    <t>WD0818</t>
  </si>
  <si>
    <t>WD0695</t>
  </si>
  <si>
    <t>WD0905</t>
  </si>
  <si>
    <t>WD0584</t>
  </si>
  <si>
    <t>WD0543</t>
  </si>
  <si>
    <t>WD0752</t>
  </si>
  <si>
    <t>WD0049</t>
  </si>
  <si>
    <t>WD0456</t>
  </si>
  <si>
    <t>WD0669</t>
  </si>
  <si>
    <t>WD0487</t>
  </si>
  <si>
    <t>WD0020</t>
  </si>
  <si>
    <t>WD0011</t>
  </si>
  <si>
    <t>WD0531</t>
  </si>
  <si>
    <t>WD0572</t>
  </si>
  <si>
    <t>WD0741</t>
  </si>
  <si>
    <t>WD0237</t>
  </si>
  <si>
    <t>WD0329</t>
  </si>
  <si>
    <t>WD0717</t>
  </si>
  <si>
    <t>WD0202</t>
  </si>
  <si>
    <t>WD0397</t>
  </si>
  <si>
    <t>WD0981</t>
  </si>
  <si>
    <t>WD0826</t>
  </si>
  <si>
    <t>WD0734</t>
  </si>
  <si>
    <t>WD0353</t>
  </si>
  <si>
    <t>WD0381</t>
  </si>
  <si>
    <t>WD0470</t>
  </si>
  <si>
    <t>WD0620</t>
  </si>
  <si>
    <t>WD0010</t>
  </si>
  <si>
    <t>WD0093</t>
  </si>
  <si>
    <t>WD0419</t>
  </si>
  <si>
    <t>WD0778</t>
  </si>
  <si>
    <t>WD0025</t>
  </si>
  <si>
    <t>WD0140</t>
  </si>
  <si>
    <t>WD0208</t>
  </si>
  <si>
    <t>WD0372</t>
  </si>
  <si>
    <t>WD0404</t>
  </si>
  <si>
    <t>WD0275</t>
  </si>
  <si>
    <t>WD0031</t>
  </si>
  <si>
    <t>WD0578</t>
  </si>
  <si>
    <t>December</t>
  </si>
  <si>
    <t>WD0139</t>
  </si>
  <si>
    <t>WD0533</t>
  </si>
  <si>
    <t>WD0241</t>
  </si>
  <si>
    <t>WD0668</t>
  </si>
  <si>
    <t>WD0865</t>
  </si>
  <si>
    <t>WD0153</t>
  </si>
  <si>
    <t>WD0175</t>
  </si>
  <si>
    <t>WD0627</t>
  </si>
  <si>
    <t>WD0664</t>
  </si>
  <si>
    <t>WD0580</t>
  </si>
  <si>
    <t>WD0361</t>
  </si>
  <si>
    <t>WD0499</t>
  </si>
  <si>
    <t>WD0501</t>
  </si>
  <si>
    <t>WD0068</t>
  </si>
  <si>
    <t>WD0853</t>
  </si>
  <si>
    <t>WD0233</t>
  </si>
  <si>
    <t>WD0184</t>
  </si>
  <si>
    <t>WD0899</t>
  </si>
  <si>
    <t>WD0380</t>
  </si>
  <si>
    <t>WD0346</t>
  </si>
  <si>
    <t>WD0344</t>
  </si>
  <si>
    <t>WD0028</t>
  </si>
  <si>
    <t>WD0055</t>
  </si>
  <si>
    <t>WD0042</t>
  </si>
  <si>
    <t>WD0845</t>
  </si>
  <si>
    <t>WD0952</t>
  </si>
  <si>
    <t>WD0444</t>
  </si>
  <si>
    <t>WD0689</t>
  </si>
  <si>
    <t>WD0529</t>
  </si>
  <si>
    <t>WD0065</t>
  </si>
  <si>
    <t>WD0411</t>
  </si>
  <si>
    <t>WD0193</t>
  </si>
  <si>
    <t>WD0570</t>
  </si>
  <si>
    <t>WD0629</t>
  </si>
  <si>
    <t>WD0212</t>
  </si>
  <si>
    <t>WD0594</t>
  </si>
  <si>
    <t>WD0516</t>
  </si>
  <si>
    <t>WD0636</t>
  </si>
  <si>
    <t>WD0215</t>
  </si>
  <si>
    <t>WD0597</t>
  </si>
  <si>
    <t>WD0771</t>
  </si>
  <si>
    <t>WD0987</t>
  </si>
  <si>
    <t>WD0151</t>
  </si>
  <si>
    <t>WD0465</t>
  </si>
  <si>
    <t>WD0732</t>
  </si>
  <si>
    <t>WD0688</t>
  </si>
  <si>
    <t>WD0284</t>
  </si>
  <si>
    <t>WD0524</t>
  </si>
  <si>
    <t>WD0514</t>
  </si>
  <si>
    <t>WD0292</t>
  </si>
  <si>
    <t>WD0731</t>
  </si>
  <si>
    <t>WD0354</t>
  </si>
  <si>
    <t>WD0940</t>
  </si>
  <si>
    <t>WD0379</t>
  </si>
  <si>
    <t>WD0852</t>
  </si>
  <si>
    <t>WD0253</t>
  </si>
  <si>
    <t>WD0187</t>
  </si>
  <si>
    <t>WD0164</t>
  </si>
  <si>
    <t>WD0939</t>
  </si>
  <si>
    <t>WD0657</t>
  </si>
  <si>
    <t>WD0775</t>
  </si>
  <si>
    <t>WD0477</t>
  </si>
  <si>
    <t>WD0107</t>
  </si>
  <si>
    <t>WD0510</t>
  </si>
  <si>
    <t>WD0455</t>
  </si>
  <si>
    <t>WD0733</t>
  </si>
  <si>
    <t>WD0679</t>
  </si>
  <si>
    <t>WD0861</t>
  </si>
  <si>
    <t>WD0461</t>
  </si>
  <si>
    <t>WD0391</t>
  </si>
  <si>
    <t>WD0495</t>
  </si>
  <si>
    <t>WD0841</t>
  </si>
  <si>
    <t>WD0408</t>
  </si>
  <si>
    <t>WD0394</t>
  </si>
  <si>
    <t>WD0078</t>
  </si>
  <si>
    <t>WD0831</t>
  </si>
  <si>
    <t>WD0115</t>
  </si>
  <si>
    <t>WD0345</t>
  </si>
  <si>
    <t>WD0331</t>
  </si>
  <si>
    <t>WD0804</t>
  </si>
  <si>
    <t>WD0960</t>
  </si>
  <si>
    <t>WD0454</t>
  </si>
  <si>
    <t>WD0178</t>
  </si>
  <si>
    <t>WD0780</t>
  </si>
  <si>
    <t>Profit</t>
  </si>
  <si>
    <t>date_year</t>
  </si>
  <si>
    <t>Row Labels</t>
  </si>
  <si>
    <t>Grand Total</t>
  </si>
  <si>
    <t>Sum of Revenue_INR</t>
  </si>
  <si>
    <t>Sum of Discount_%</t>
  </si>
  <si>
    <t>Sum of date_year</t>
  </si>
  <si>
    <t>Revenue Per Units</t>
  </si>
  <si>
    <t>Profit Margin%</t>
  </si>
  <si>
    <t>Discount_Impact_INR</t>
  </si>
  <si>
    <t>Performance</t>
  </si>
  <si>
    <t>Quarter_City</t>
  </si>
  <si>
    <t>Sum of Profit</t>
  </si>
  <si>
    <t>Sum of Units_Sold</t>
  </si>
  <si>
    <t xml:space="preserve"> WOLF DESIGN SALES 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</si>
</sst>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tint="0.249977111117893"/>
      <name val="Calibri"/>
      <family val="2"/>
      <scheme val="minor"/>
    </font>
    <font>
      <b/>
      <u/>
      <sz val="28"/>
      <color theme="1" tint="0.149998474074526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wrapText="1"/>
    </xf>
    <xf numFmtId="10" fontId="0" fillId="0" borderId="0" xfId="0" applyNumberFormat="1"/>
    <xf numFmtId="0" fontId="18"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14" formatCode="0.00%"/>
    </dxf>
    <dxf>
      <numFmt numFmtId="165" formatCode="&quot;₹&quot;\ #,##0.00"/>
    </dxf>
    <dxf>
      <numFmt numFmtId="0" formatCode="General"/>
    </dxf>
    <dxf>
      <numFmt numFmtId="0" formatCode="General"/>
    </dxf>
    <dxf>
      <numFmt numFmtId="0" formatCode="General"/>
    </dxf>
    <dxf>
      <numFmt numFmtId="165" formatCode="&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monday wolf design.xlsx]Pivot_city!PivotTable4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3717241766798"/>
          <c:y val="0.16449074074074077"/>
          <c:w val="0.83953018372703414"/>
          <c:h val="0.70959135316418775"/>
        </c:manualLayout>
      </c:layout>
      <c:barChart>
        <c:barDir val="col"/>
        <c:grouping val="clustered"/>
        <c:varyColors val="0"/>
        <c:ser>
          <c:idx val="0"/>
          <c:order val="0"/>
          <c:tx>
            <c:strRef>
              <c:f>Pivot_city!$B$3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Pivot_city!$A$4:$A$8</c:f>
              <c:strCache>
                <c:ptCount val="4"/>
                <c:pt idx="0">
                  <c:v>Mumbai</c:v>
                </c:pt>
                <c:pt idx="1">
                  <c:v>Hyderabad</c:v>
                </c:pt>
                <c:pt idx="2">
                  <c:v>Kolkata</c:v>
                </c:pt>
                <c:pt idx="3">
                  <c:v>Delhi</c:v>
                </c:pt>
              </c:strCache>
            </c:strRef>
          </c:cat>
          <c:val>
            <c:numRef>
              <c:f>Pivot_city!$B$4:$B$8</c:f>
              <c:numCache>
                <c:formatCode>General</c:formatCode>
                <c:ptCount val="4"/>
                <c:pt idx="0">
                  <c:v>6744889.5</c:v>
                </c:pt>
                <c:pt idx="1">
                  <c:v>6125608</c:v>
                </c:pt>
                <c:pt idx="2">
                  <c:v>5846295.5</c:v>
                </c:pt>
                <c:pt idx="3">
                  <c:v>5714224</c:v>
                </c:pt>
              </c:numCache>
            </c:numRef>
          </c:val>
          <c:extLst>
            <c:ext xmlns:c16="http://schemas.microsoft.com/office/drawing/2014/chart" uri="{C3380CC4-5D6E-409C-BE32-E72D297353CC}">
              <c16:uniqueId val="{00000000-90FC-40B2-90AE-C3396DF722C5}"/>
            </c:ext>
          </c:extLst>
        </c:ser>
        <c:dLbls>
          <c:showLegendKey val="0"/>
          <c:showVal val="0"/>
          <c:showCatName val="0"/>
          <c:showSerName val="0"/>
          <c:showPercent val="0"/>
          <c:showBubbleSize val="0"/>
        </c:dLbls>
        <c:gapWidth val="100"/>
        <c:overlap val="-24"/>
        <c:axId val="993706063"/>
        <c:axId val="997015759"/>
      </c:barChart>
      <c:catAx>
        <c:axId val="993706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7015759"/>
        <c:crosses val="autoZero"/>
        <c:auto val="1"/>
        <c:lblAlgn val="ctr"/>
        <c:lblOffset val="100"/>
        <c:noMultiLvlLbl val="0"/>
      </c:catAx>
      <c:valAx>
        <c:axId val="997015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70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16912037037037039"/>
          <c:w val="0.83953018372703414"/>
          <c:h val="0.70959135316418775"/>
        </c:manualLayout>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6"/>
              <c:pt idx="0">
                <c:v>Ethnic Wear</c:v>
              </c:pt>
              <c:pt idx="1">
                <c:v>Jackets</c:v>
              </c:pt>
              <c:pt idx="2">
                <c:v>Dresses</c:v>
              </c:pt>
              <c:pt idx="3">
                <c:v>Trousers</c:v>
              </c:pt>
              <c:pt idx="4">
                <c:v>Accessories</c:v>
              </c:pt>
              <c:pt idx="5">
                <c:v>Shirts</c:v>
              </c:pt>
            </c:strLit>
          </c:cat>
          <c:val>
            <c:numLit>
              <c:formatCode>General</c:formatCode>
              <c:ptCount val="6"/>
              <c:pt idx="0">
                <c:v>7429209.5</c:v>
              </c:pt>
              <c:pt idx="1">
                <c:v>6899679.5</c:v>
              </c:pt>
              <c:pt idx="2">
                <c:v>3593566</c:v>
              </c:pt>
              <c:pt idx="3">
                <c:v>2486828</c:v>
              </c:pt>
              <c:pt idx="4">
                <c:v>2389889</c:v>
              </c:pt>
              <c:pt idx="5">
                <c:v>1631845</c:v>
              </c:pt>
            </c:numLit>
          </c:val>
          <c:extLst>
            <c:ext xmlns:c16="http://schemas.microsoft.com/office/drawing/2014/chart" uri="{C3380CC4-5D6E-409C-BE32-E72D297353CC}">
              <c16:uniqueId val="{00000000-6B6D-4DB9-BB95-DD582DE3243A}"/>
            </c:ext>
          </c:extLst>
        </c:ser>
        <c:dLbls>
          <c:showLegendKey val="0"/>
          <c:showVal val="0"/>
          <c:showCatName val="0"/>
          <c:showSerName val="0"/>
          <c:showPercent val="0"/>
          <c:showBubbleSize val="0"/>
        </c:dLbls>
        <c:gapWidth val="315"/>
        <c:overlap val="-40"/>
        <c:axId val="993705135"/>
        <c:axId val="996963919"/>
      </c:barChart>
      <c:catAx>
        <c:axId val="9937051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6963919"/>
        <c:crosses val="autoZero"/>
        <c:auto val="1"/>
        <c:lblAlgn val="ctr"/>
        <c:lblOffset val="100"/>
        <c:noMultiLvlLbl val="0"/>
      </c:catAx>
      <c:valAx>
        <c:axId val="9969639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370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monday wolf design.xlsx]Pivot_month_year!PivotTable7</c:name>
    <c:fmtId val="4"/>
  </c:pivotSource>
  <c:chart>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0289407836463"/>
          <c:y val="6.0185319842935202E-2"/>
          <c:w val="0.84955954724409444"/>
          <c:h val="0.70061461067366582"/>
        </c:manualLayout>
      </c:layout>
      <c:lineChart>
        <c:grouping val="standard"/>
        <c:varyColors val="0"/>
        <c:ser>
          <c:idx val="0"/>
          <c:order val="0"/>
          <c:tx>
            <c:strRef>
              <c:f>Pivot_month_year!$B$3</c:f>
              <c:strCache>
                <c:ptCount val="1"/>
                <c:pt idx="0">
                  <c:v>Sum of date_year</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Pivot_month_year!$A$4:$A$16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Pivot_month_year!$B$4:$B$16</c:f>
              <c:numCache>
                <c:formatCode>General</c:formatCode>
                <c:ptCount val="12"/>
                <c:pt idx="0">
                  <c:v>149776</c:v>
                </c:pt>
                <c:pt idx="1">
                  <c:v>176088</c:v>
                </c:pt>
                <c:pt idx="2">
                  <c:v>172040</c:v>
                </c:pt>
                <c:pt idx="3">
                  <c:v>105248</c:v>
                </c:pt>
                <c:pt idx="4">
                  <c:v>167992</c:v>
                </c:pt>
                <c:pt idx="5">
                  <c:v>198352</c:v>
                </c:pt>
                <c:pt idx="6">
                  <c:v>165968</c:v>
                </c:pt>
                <c:pt idx="7">
                  <c:v>180136</c:v>
                </c:pt>
                <c:pt idx="8">
                  <c:v>157872</c:v>
                </c:pt>
                <c:pt idx="9">
                  <c:v>192280</c:v>
                </c:pt>
                <c:pt idx="10">
                  <c:v>186208</c:v>
                </c:pt>
                <c:pt idx="11">
                  <c:v>172040</c:v>
                </c:pt>
              </c:numCache>
            </c:numRef>
          </c:val>
          <c:smooth val="0"/>
          <c:extLst>
            <c:ext xmlns:c16="http://schemas.microsoft.com/office/drawing/2014/chart" uri="{C3380CC4-5D6E-409C-BE32-E72D297353CC}">
              <c16:uniqueId val="{00000000-874C-4676-8D3F-C2D166D6007D}"/>
            </c:ext>
          </c:extLst>
        </c:ser>
        <c:ser>
          <c:idx val="1"/>
          <c:order val="1"/>
          <c:tx>
            <c:strRef>
              <c:f>Pivot_month_year!$C$3</c:f>
              <c:strCache>
                <c:ptCount val="1"/>
                <c:pt idx="0">
                  <c:v>Sum of Revenue_INR</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Pivot_month_year!$A$4:$A$16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Pivot_month_year!$C$4:$C$16</c:f>
              <c:numCache>
                <c:formatCode>General</c:formatCode>
                <c:ptCount val="12"/>
                <c:pt idx="0">
                  <c:v>1652583</c:v>
                </c:pt>
                <c:pt idx="1">
                  <c:v>2164210</c:v>
                </c:pt>
                <c:pt idx="2">
                  <c:v>1747219.5</c:v>
                </c:pt>
                <c:pt idx="3">
                  <c:v>1267950</c:v>
                </c:pt>
                <c:pt idx="4">
                  <c:v>1955297</c:v>
                </c:pt>
                <c:pt idx="5">
                  <c:v>2671853.5</c:v>
                </c:pt>
                <c:pt idx="6">
                  <c:v>1807900.5</c:v>
                </c:pt>
                <c:pt idx="7">
                  <c:v>2649149.5</c:v>
                </c:pt>
                <c:pt idx="8">
                  <c:v>1871706.5</c:v>
                </c:pt>
                <c:pt idx="9">
                  <c:v>2482763</c:v>
                </c:pt>
                <c:pt idx="10">
                  <c:v>2404902.5</c:v>
                </c:pt>
                <c:pt idx="11">
                  <c:v>1755482</c:v>
                </c:pt>
              </c:numCache>
            </c:numRef>
          </c:val>
          <c:smooth val="0"/>
          <c:extLst>
            <c:ext xmlns:c16="http://schemas.microsoft.com/office/drawing/2014/chart" uri="{C3380CC4-5D6E-409C-BE32-E72D297353CC}">
              <c16:uniqueId val="{00000001-874C-4676-8D3F-C2D166D6007D}"/>
            </c:ext>
          </c:extLst>
        </c:ser>
        <c:dLbls>
          <c:showLegendKey val="0"/>
          <c:showVal val="0"/>
          <c:showCatName val="0"/>
          <c:showSerName val="0"/>
          <c:showPercent val="0"/>
          <c:showBubbleSize val="0"/>
        </c:dLbls>
        <c:marker val="1"/>
        <c:smooth val="0"/>
        <c:axId val="984146127"/>
        <c:axId val="997051759"/>
      </c:lineChart>
      <c:catAx>
        <c:axId val="984146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97051759"/>
        <c:crosses val="autoZero"/>
        <c:auto val="1"/>
        <c:lblAlgn val="ctr"/>
        <c:lblOffset val="100"/>
        <c:noMultiLvlLbl val="0"/>
      </c:catAx>
      <c:valAx>
        <c:axId val="99705175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14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monday wolf design.xlsx]Pivot_category_profit!PivotTable9</c:name>
    <c:fmtId val="6"/>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Pivot_category_profit!$B$3</c:f>
              <c:strCache>
                <c:ptCount val="1"/>
                <c:pt idx="0">
                  <c:v>Sum of Discount_%</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Pivot_category_profit!$A$4:$A$10</c:f>
              <c:strCache>
                <c:ptCount val="6"/>
                <c:pt idx="0">
                  <c:v>Ethnic Wear</c:v>
                </c:pt>
                <c:pt idx="1">
                  <c:v>Jackets</c:v>
                </c:pt>
                <c:pt idx="2">
                  <c:v>Dresses</c:v>
                </c:pt>
                <c:pt idx="3">
                  <c:v>Trousers</c:v>
                </c:pt>
                <c:pt idx="4">
                  <c:v>Accessories</c:v>
                </c:pt>
                <c:pt idx="5">
                  <c:v>Shirts</c:v>
                </c:pt>
              </c:strCache>
            </c:strRef>
          </c:cat>
          <c:val>
            <c:numRef>
              <c:f>Pivot_category_profit!$B$4:$B$10</c:f>
              <c:numCache>
                <c:formatCode>General</c:formatCode>
                <c:ptCount val="6"/>
                <c:pt idx="0">
                  <c:v>2520</c:v>
                </c:pt>
                <c:pt idx="1">
                  <c:v>2970</c:v>
                </c:pt>
                <c:pt idx="2">
                  <c:v>2240</c:v>
                </c:pt>
                <c:pt idx="3">
                  <c:v>2490</c:v>
                </c:pt>
                <c:pt idx="4">
                  <c:v>2935</c:v>
                </c:pt>
                <c:pt idx="5">
                  <c:v>2285</c:v>
                </c:pt>
              </c:numCache>
            </c:numRef>
          </c:val>
          <c:extLst>
            <c:ext xmlns:c16="http://schemas.microsoft.com/office/drawing/2014/chart" uri="{C3380CC4-5D6E-409C-BE32-E72D297353CC}">
              <c16:uniqueId val="{00000000-CD93-4574-A027-94667588C1B8}"/>
            </c:ext>
          </c:extLst>
        </c:ser>
        <c:ser>
          <c:idx val="1"/>
          <c:order val="1"/>
          <c:tx>
            <c:strRef>
              <c:f>Pivot_category_profit!$C$3</c:f>
              <c:strCache>
                <c:ptCount val="1"/>
                <c:pt idx="0">
                  <c:v>Sum of Units_Sold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Pivot_category_profit!$A$4:$A$10</c:f>
              <c:strCache>
                <c:ptCount val="6"/>
                <c:pt idx="0">
                  <c:v>Ethnic Wear</c:v>
                </c:pt>
                <c:pt idx="1">
                  <c:v>Jackets</c:v>
                </c:pt>
                <c:pt idx="2">
                  <c:v>Dresses</c:v>
                </c:pt>
                <c:pt idx="3">
                  <c:v>Trousers</c:v>
                </c:pt>
                <c:pt idx="4">
                  <c:v>Accessories</c:v>
                </c:pt>
                <c:pt idx="5">
                  <c:v>Shirts</c:v>
                </c:pt>
              </c:strCache>
            </c:strRef>
          </c:cat>
          <c:val>
            <c:numRef>
              <c:f>Pivot_category_profit!$C$4:$C$10</c:f>
              <c:numCache>
                <c:formatCode>General</c:formatCode>
                <c:ptCount val="6"/>
                <c:pt idx="0">
                  <c:v>1268</c:v>
                </c:pt>
                <c:pt idx="1">
                  <c:v>1514</c:v>
                </c:pt>
                <c:pt idx="2">
                  <c:v>1239</c:v>
                </c:pt>
                <c:pt idx="3">
                  <c:v>1372</c:v>
                </c:pt>
                <c:pt idx="4">
                  <c:v>1685</c:v>
                </c:pt>
                <c:pt idx="5">
                  <c:v>1256</c:v>
                </c:pt>
              </c:numCache>
            </c:numRef>
          </c:val>
          <c:extLst>
            <c:ext xmlns:c16="http://schemas.microsoft.com/office/drawing/2014/chart" uri="{C3380CC4-5D6E-409C-BE32-E72D297353CC}">
              <c16:uniqueId val="{00000001-CD93-4574-A027-94667588C1B8}"/>
            </c:ext>
          </c:extLst>
        </c:ser>
        <c:ser>
          <c:idx val="2"/>
          <c:order val="2"/>
          <c:tx>
            <c:strRef>
              <c:f>Pivot_category_profit!$D$3</c:f>
              <c:strCache>
                <c:ptCount val="1"/>
                <c:pt idx="0">
                  <c:v>Sum of Profit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Pivot_category_profit!$A$4:$A$10</c:f>
              <c:strCache>
                <c:ptCount val="6"/>
                <c:pt idx="0">
                  <c:v>Ethnic Wear</c:v>
                </c:pt>
                <c:pt idx="1">
                  <c:v>Jackets</c:v>
                </c:pt>
                <c:pt idx="2">
                  <c:v>Dresses</c:v>
                </c:pt>
                <c:pt idx="3">
                  <c:v>Trousers</c:v>
                </c:pt>
                <c:pt idx="4">
                  <c:v>Accessories</c:v>
                </c:pt>
                <c:pt idx="5">
                  <c:v>Shirts</c:v>
                </c:pt>
              </c:strCache>
            </c:strRef>
          </c:cat>
          <c:val>
            <c:numRef>
              <c:f>Pivot_category_profit!$D$4:$D$10</c:f>
              <c:numCache>
                <c:formatCode>"₹"\ #,##0.00</c:formatCode>
                <c:ptCount val="6"/>
                <c:pt idx="0">
                  <c:v>6304899.5</c:v>
                </c:pt>
                <c:pt idx="1">
                  <c:v>5898959.5</c:v>
                </c:pt>
                <c:pt idx="2">
                  <c:v>3088016</c:v>
                </c:pt>
                <c:pt idx="3">
                  <c:v>2144798</c:v>
                </c:pt>
                <c:pt idx="4">
                  <c:v>2064119</c:v>
                </c:pt>
                <c:pt idx="5">
                  <c:v>1397415</c:v>
                </c:pt>
              </c:numCache>
            </c:numRef>
          </c:val>
          <c:extLst>
            <c:ext xmlns:c16="http://schemas.microsoft.com/office/drawing/2014/chart" uri="{C3380CC4-5D6E-409C-BE32-E72D297353CC}">
              <c16:uniqueId val="{00000002-CD93-4574-A027-94667588C1B8}"/>
            </c:ext>
          </c:extLst>
        </c:ser>
        <c:dLbls>
          <c:showLegendKey val="0"/>
          <c:showVal val="0"/>
          <c:showCatName val="0"/>
          <c:showSerName val="0"/>
          <c:showPercent val="0"/>
          <c:showBubbleSize val="0"/>
        </c:dLbls>
        <c:gapWidth val="315"/>
        <c:overlap val="-40"/>
        <c:axId val="984109935"/>
        <c:axId val="997065199"/>
      </c:barChart>
      <c:catAx>
        <c:axId val="9841099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7065199"/>
        <c:crosses val="autoZero"/>
        <c:auto val="1"/>
        <c:lblAlgn val="ctr"/>
        <c:lblOffset val="100"/>
        <c:noMultiLvlLbl val="0"/>
      </c:catAx>
      <c:valAx>
        <c:axId val="9970651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410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monday wolf design.xlsx]Pivots_sales rep_Performance!PivotTable10</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'Pivots_sales rep_Performance'!$B$3</c:f>
              <c:strCache>
                <c:ptCount val="1"/>
                <c:pt idx="0">
                  <c:v>Sum of Revenue_INR</c:v>
                </c:pt>
              </c:strCache>
            </c:strRef>
          </c:tx>
          <c:spPr>
            <a:solidFill>
              <a:schemeClr val="accent1"/>
            </a:solidFill>
            <a:ln>
              <a:noFill/>
            </a:ln>
            <a:effectLst/>
          </c:spPr>
          <c:invertIfNegative val="0"/>
          <c:cat>
            <c:strRef>
              <c:f>'Pivots_sales rep_Performance'!$A$4:$A$16</c:f>
              <c:strCache>
                <c:ptCount val="12"/>
                <c:pt idx="0">
                  <c:v>Amit Shah</c:v>
                </c:pt>
                <c:pt idx="1">
                  <c:v>Ananya Rao</c:v>
                </c:pt>
                <c:pt idx="2">
                  <c:v>Arjun Chatterjee</c:v>
                </c:pt>
                <c:pt idx="3">
                  <c:v>Dipankar Bose</c:v>
                </c:pt>
                <c:pt idx="4">
                  <c:v>Kavya Malhotra</c:v>
                </c:pt>
                <c:pt idx="5">
                  <c:v>Neha Gupta</c:v>
                </c:pt>
                <c:pt idx="6">
                  <c:v>Priya Patel</c:v>
                </c:pt>
                <c:pt idx="7">
                  <c:v>Rahul Sharma</c:v>
                </c:pt>
                <c:pt idx="8">
                  <c:v>Rohit Singh</c:v>
                </c:pt>
                <c:pt idx="9">
                  <c:v>Shreya Das</c:v>
                </c:pt>
                <c:pt idx="10">
                  <c:v>Suresh Kumar</c:v>
                </c:pt>
                <c:pt idx="11">
                  <c:v>Vikram Reddy</c:v>
                </c:pt>
              </c:strCache>
            </c:strRef>
          </c:cat>
          <c:val>
            <c:numRef>
              <c:f>'Pivots_sales rep_Performance'!$B$4:$B$16</c:f>
              <c:numCache>
                <c:formatCode>General</c:formatCode>
                <c:ptCount val="12"/>
                <c:pt idx="0">
                  <c:v>2113226.5</c:v>
                </c:pt>
                <c:pt idx="1">
                  <c:v>1816285</c:v>
                </c:pt>
                <c:pt idx="2">
                  <c:v>1849000</c:v>
                </c:pt>
                <c:pt idx="3">
                  <c:v>1801794</c:v>
                </c:pt>
                <c:pt idx="4">
                  <c:v>1759683</c:v>
                </c:pt>
                <c:pt idx="5">
                  <c:v>2269365</c:v>
                </c:pt>
                <c:pt idx="6">
                  <c:v>2119333.5</c:v>
                </c:pt>
                <c:pt idx="7">
                  <c:v>2512329.5</c:v>
                </c:pt>
                <c:pt idx="8">
                  <c:v>1685176</c:v>
                </c:pt>
                <c:pt idx="9">
                  <c:v>2195501.5</c:v>
                </c:pt>
                <c:pt idx="10">
                  <c:v>2204932.5</c:v>
                </c:pt>
                <c:pt idx="11">
                  <c:v>2104390.5</c:v>
                </c:pt>
              </c:numCache>
            </c:numRef>
          </c:val>
          <c:extLst>
            <c:ext xmlns:c16="http://schemas.microsoft.com/office/drawing/2014/chart" uri="{C3380CC4-5D6E-409C-BE32-E72D297353CC}">
              <c16:uniqueId val="{00000000-6D45-4CA6-9436-0510745E026A}"/>
            </c:ext>
          </c:extLst>
        </c:ser>
        <c:ser>
          <c:idx val="1"/>
          <c:order val="1"/>
          <c:tx>
            <c:strRef>
              <c:f>'Pivots_sales rep_Performance'!$C$3</c:f>
              <c:strCache>
                <c:ptCount val="1"/>
                <c:pt idx="0">
                  <c:v>Sum of Profit</c:v>
                </c:pt>
              </c:strCache>
            </c:strRef>
          </c:tx>
          <c:spPr>
            <a:solidFill>
              <a:schemeClr val="accent2"/>
            </a:solidFill>
            <a:ln>
              <a:noFill/>
            </a:ln>
            <a:effectLst/>
          </c:spPr>
          <c:invertIfNegative val="0"/>
          <c:cat>
            <c:strRef>
              <c:f>'Pivots_sales rep_Performance'!$A$4:$A$16</c:f>
              <c:strCache>
                <c:ptCount val="12"/>
                <c:pt idx="0">
                  <c:v>Amit Shah</c:v>
                </c:pt>
                <c:pt idx="1">
                  <c:v>Ananya Rao</c:v>
                </c:pt>
                <c:pt idx="2">
                  <c:v>Arjun Chatterjee</c:v>
                </c:pt>
                <c:pt idx="3">
                  <c:v>Dipankar Bose</c:v>
                </c:pt>
                <c:pt idx="4">
                  <c:v>Kavya Malhotra</c:v>
                </c:pt>
                <c:pt idx="5">
                  <c:v>Neha Gupta</c:v>
                </c:pt>
                <c:pt idx="6">
                  <c:v>Priya Patel</c:v>
                </c:pt>
                <c:pt idx="7">
                  <c:v>Rahul Sharma</c:v>
                </c:pt>
                <c:pt idx="8">
                  <c:v>Rohit Singh</c:v>
                </c:pt>
                <c:pt idx="9">
                  <c:v>Shreya Das</c:v>
                </c:pt>
                <c:pt idx="10">
                  <c:v>Suresh Kumar</c:v>
                </c:pt>
                <c:pt idx="11">
                  <c:v>Vikram Reddy</c:v>
                </c:pt>
              </c:strCache>
            </c:strRef>
          </c:cat>
          <c:val>
            <c:numRef>
              <c:f>'Pivots_sales rep_Performance'!$C$4:$C$16</c:f>
              <c:numCache>
                <c:formatCode>"₹"\ #,##0.00</c:formatCode>
                <c:ptCount val="12"/>
                <c:pt idx="0">
                  <c:v>1801486.5</c:v>
                </c:pt>
                <c:pt idx="1">
                  <c:v>1548515</c:v>
                </c:pt>
                <c:pt idx="2">
                  <c:v>1569890</c:v>
                </c:pt>
                <c:pt idx="3">
                  <c:v>1551924</c:v>
                </c:pt>
                <c:pt idx="4">
                  <c:v>1505063</c:v>
                </c:pt>
                <c:pt idx="5">
                  <c:v>1959645</c:v>
                </c:pt>
                <c:pt idx="6">
                  <c:v>1804713.5</c:v>
                </c:pt>
                <c:pt idx="7">
                  <c:v>2141789.5</c:v>
                </c:pt>
                <c:pt idx="8">
                  <c:v>1415186</c:v>
                </c:pt>
                <c:pt idx="9">
                  <c:v>1904171.5</c:v>
                </c:pt>
                <c:pt idx="10">
                  <c:v>1877092.5</c:v>
                </c:pt>
                <c:pt idx="11">
                  <c:v>1818730.5</c:v>
                </c:pt>
              </c:numCache>
            </c:numRef>
          </c:val>
          <c:extLst>
            <c:ext xmlns:c16="http://schemas.microsoft.com/office/drawing/2014/chart" uri="{C3380CC4-5D6E-409C-BE32-E72D297353CC}">
              <c16:uniqueId val="{00000001-6D45-4CA6-9436-0510745E026A}"/>
            </c:ext>
          </c:extLst>
        </c:ser>
        <c:ser>
          <c:idx val="2"/>
          <c:order val="2"/>
          <c:tx>
            <c:strRef>
              <c:f>'Pivots_sales rep_Performance'!$D$3</c:f>
              <c:strCache>
                <c:ptCount val="1"/>
                <c:pt idx="0">
                  <c:v>Sum of Units_Sold</c:v>
                </c:pt>
              </c:strCache>
            </c:strRef>
          </c:tx>
          <c:spPr>
            <a:solidFill>
              <a:schemeClr val="accent3"/>
            </a:solidFill>
            <a:ln>
              <a:noFill/>
            </a:ln>
            <a:effectLst/>
          </c:spPr>
          <c:invertIfNegative val="0"/>
          <c:cat>
            <c:strRef>
              <c:f>'Pivots_sales rep_Performance'!$A$4:$A$16</c:f>
              <c:strCache>
                <c:ptCount val="12"/>
                <c:pt idx="0">
                  <c:v>Amit Shah</c:v>
                </c:pt>
                <c:pt idx="1">
                  <c:v>Ananya Rao</c:v>
                </c:pt>
                <c:pt idx="2">
                  <c:v>Arjun Chatterjee</c:v>
                </c:pt>
                <c:pt idx="3">
                  <c:v>Dipankar Bose</c:v>
                </c:pt>
                <c:pt idx="4">
                  <c:v>Kavya Malhotra</c:v>
                </c:pt>
                <c:pt idx="5">
                  <c:v>Neha Gupta</c:v>
                </c:pt>
                <c:pt idx="6">
                  <c:v>Priya Patel</c:v>
                </c:pt>
                <c:pt idx="7">
                  <c:v>Rahul Sharma</c:v>
                </c:pt>
                <c:pt idx="8">
                  <c:v>Rohit Singh</c:v>
                </c:pt>
                <c:pt idx="9">
                  <c:v>Shreya Das</c:v>
                </c:pt>
                <c:pt idx="10">
                  <c:v>Suresh Kumar</c:v>
                </c:pt>
                <c:pt idx="11">
                  <c:v>Vikram Reddy</c:v>
                </c:pt>
              </c:strCache>
            </c:strRef>
          </c:cat>
          <c:val>
            <c:numRef>
              <c:f>'Pivots_sales rep_Performance'!$D$4:$D$16</c:f>
              <c:numCache>
                <c:formatCode>General</c:formatCode>
                <c:ptCount val="12"/>
                <c:pt idx="0">
                  <c:v>776</c:v>
                </c:pt>
                <c:pt idx="1">
                  <c:v>729</c:v>
                </c:pt>
                <c:pt idx="2">
                  <c:v>680</c:v>
                </c:pt>
                <c:pt idx="3">
                  <c:v>694</c:v>
                </c:pt>
                <c:pt idx="4">
                  <c:v>676</c:v>
                </c:pt>
                <c:pt idx="5">
                  <c:v>730</c:v>
                </c:pt>
                <c:pt idx="6">
                  <c:v>688</c:v>
                </c:pt>
                <c:pt idx="7">
                  <c:v>795</c:v>
                </c:pt>
                <c:pt idx="8">
                  <c:v>568</c:v>
                </c:pt>
                <c:pt idx="9">
                  <c:v>657</c:v>
                </c:pt>
                <c:pt idx="10">
                  <c:v>640</c:v>
                </c:pt>
                <c:pt idx="11">
                  <c:v>701</c:v>
                </c:pt>
              </c:numCache>
            </c:numRef>
          </c:val>
          <c:extLst>
            <c:ext xmlns:c16="http://schemas.microsoft.com/office/drawing/2014/chart" uri="{C3380CC4-5D6E-409C-BE32-E72D297353CC}">
              <c16:uniqueId val="{00000002-6D45-4CA6-9436-0510745E026A}"/>
            </c:ext>
          </c:extLst>
        </c:ser>
        <c:dLbls>
          <c:showLegendKey val="0"/>
          <c:showVal val="0"/>
          <c:showCatName val="0"/>
          <c:showSerName val="0"/>
          <c:showPercent val="0"/>
          <c:showBubbleSize val="0"/>
        </c:dLbls>
        <c:gapWidth val="219"/>
        <c:overlap val="-27"/>
        <c:axId val="984217119"/>
        <c:axId val="997040719"/>
      </c:barChart>
      <c:catAx>
        <c:axId val="98421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40719"/>
        <c:crosses val="autoZero"/>
        <c:auto val="1"/>
        <c:lblAlgn val="ctr"/>
        <c:lblOffset val="100"/>
        <c:noMultiLvlLbl val="0"/>
      </c:catAx>
      <c:valAx>
        <c:axId val="99704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21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91440</xdr:colOff>
      <xdr:row>3</xdr:row>
      <xdr:rowOff>7620</xdr:rowOff>
    </xdr:from>
    <xdr:to>
      <xdr:col>3</xdr:col>
      <xdr:colOff>601980</xdr:colOff>
      <xdr:row>8</xdr:row>
      <xdr:rowOff>106680</xdr:rowOff>
    </xdr:to>
    <xdr:sp macro="" textlink="">
      <xdr:nvSpPr>
        <xdr:cNvPr id="2" name="Rectangle: Rounded Corners 1">
          <a:extLst>
            <a:ext uri="{FF2B5EF4-FFF2-40B4-BE49-F238E27FC236}">
              <a16:creationId xmlns:a16="http://schemas.microsoft.com/office/drawing/2014/main" id="{E2657EC1-B865-4919-48E3-BB975E0F762D}"/>
            </a:ext>
          </a:extLst>
        </xdr:cNvPr>
        <xdr:cNvSpPr/>
      </xdr:nvSpPr>
      <xdr:spPr>
        <a:xfrm>
          <a:off x="91440" y="769620"/>
          <a:ext cx="2339340" cy="101346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a:t>
          </a:r>
          <a:r>
            <a:rPr lang="en-IN" sz="1100"/>
            <a:t> </a:t>
          </a:r>
          <a:r>
            <a:rPr lang="en-IN" sz="1800" b="1"/>
            <a:t>TOTAL REVENUE</a:t>
          </a:r>
        </a:p>
        <a:p>
          <a:pPr algn="l"/>
          <a:r>
            <a:rPr lang="en-IN" sz="1100" b="0" i="0" u="none" strike="noStrike">
              <a:solidFill>
                <a:schemeClr val="dk1"/>
              </a:solidFill>
              <a:effectLst/>
              <a:latin typeface="+mn-lt"/>
              <a:ea typeface="+mn-ea"/>
              <a:cs typeface="+mn-cs"/>
            </a:rPr>
            <a:t>              </a:t>
          </a:r>
          <a:r>
            <a:rPr lang="en-IN" sz="1600">
              <a:effectLst/>
            </a:rPr>
            <a:t>                            </a:t>
          </a:r>
        </a:p>
        <a:p>
          <a:pPr algn="l"/>
          <a:r>
            <a:rPr lang="en-IN" sz="1600" b="0" i="0" u="none" strike="noStrike">
              <a:solidFill>
                <a:schemeClr val="dk1"/>
              </a:solidFill>
              <a:effectLst/>
              <a:latin typeface="+mn-lt"/>
              <a:ea typeface="+mn-ea"/>
              <a:cs typeface="+mn-cs"/>
            </a:rPr>
            <a:t>       ₹ 2,44,31,017.00</a:t>
          </a:r>
          <a:r>
            <a:rPr lang="en-IN" sz="1600">
              <a:effectLst/>
            </a:rPr>
            <a:t> </a:t>
          </a:r>
          <a:endParaRPr lang="en-IN" sz="1600" b="1"/>
        </a:p>
      </xdr:txBody>
    </xdr:sp>
    <xdr:clientData/>
  </xdr:twoCellAnchor>
  <xdr:twoCellAnchor>
    <xdr:from>
      <xdr:col>8</xdr:col>
      <xdr:colOff>160020</xdr:colOff>
      <xdr:row>3</xdr:row>
      <xdr:rowOff>15240</xdr:rowOff>
    </xdr:from>
    <xdr:to>
      <xdr:col>12</xdr:col>
      <xdr:colOff>45720</xdr:colOff>
      <xdr:row>8</xdr:row>
      <xdr:rowOff>129540</xdr:rowOff>
    </xdr:to>
    <xdr:sp macro="" textlink="">
      <xdr:nvSpPr>
        <xdr:cNvPr id="3" name="Rectangle: Rounded Corners 2">
          <a:extLst>
            <a:ext uri="{FF2B5EF4-FFF2-40B4-BE49-F238E27FC236}">
              <a16:creationId xmlns:a16="http://schemas.microsoft.com/office/drawing/2014/main" id="{8F0F453B-24DF-0726-C2E2-E4918E3A88AD}"/>
            </a:ext>
          </a:extLst>
        </xdr:cNvPr>
        <xdr:cNvSpPr/>
      </xdr:nvSpPr>
      <xdr:spPr>
        <a:xfrm>
          <a:off x="5661660" y="845820"/>
          <a:ext cx="2324100" cy="1028700"/>
        </a:xfrm>
        <a:prstGeom prst="round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      </a:t>
          </a:r>
          <a:r>
            <a:rPr lang="en-IN" sz="1800"/>
            <a:t>📦</a:t>
          </a:r>
          <a:r>
            <a:rPr lang="en-IN"/>
            <a:t>   </a:t>
          </a:r>
          <a:r>
            <a:rPr lang="en-IN" sz="1800" b="1"/>
            <a:t>Units Sold</a:t>
          </a:r>
        </a:p>
        <a:p>
          <a:pPr algn="l"/>
          <a:r>
            <a:rPr lang="en-IN" sz="1800" b="1"/>
            <a:t>      </a:t>
          </a:r>
          <a:r>
            <a:rPr lang="en-IN" sz="1800" b="1" baseline="0"/>
            <a:t>        </a:t>
          </a:r>
          <a:r>
            <a:rPr lang="en-IN" sz="1600" b="0" i="0" u="none" strike="noStrike">
              <a:solidFill>
                <a:schemeClr val="dk1"/>
              </a:solidFill>
              <a:effectLst/>
              <a:latin typeface="+mn-lt"/>
              <a:ea typeface="+mn-ea"/>
              <a:cs typeface="+mn-cs"/>
            </a:rPr>
            <a:t>8334</a:t>
          </a:r>
          <a:r>
            <a:rPr lang="en-IN" sz="1600">
              <a:effectLst/>
            </a:rPr>
            <a:t> </a:t>
          </a:r>
          <a:endParaRPr lang="en-IN" sz="1600" b="1"/>
        </a:p>
      </xdr:txBody>
    </xdr:sp>
    <xdr:clientData/>
  </xdr:twoCellAnchor>
  <xdr:twoCellAnchor>
    <xdr:from>
      <xdr:col>4</xdr:col>
      <xdr:colOff>434340</xdr:colOff>
      <xdr:row>3</xdr:row>
      <xdr:rowOff>7620</xdr:rowOff>
    </xdr:from>
    <xdr:to>
      <xdr:col>7</xdr:col>
      <xdr:colOff>975360</xdr:colOff>
      <xdr:row>8</xdr:row>
      <xdr:rowOff>144780</xdr:rowOff>
    </xdr:to>
    <xdr:sp macro="" textlink="">
      <xdr:nvSpPr>
        <xdr:cNvPr id="4" name="Rectangle: Rounded Corners 3">
          <a:extLst>
            <a:ext uri="{FF2B5EF4-FFF2-40B4-BE49-F238E27FC236}">
              <a16:creationId xmlns:a16="http://schemas.microsoft.com/office/drawing/2014/main" id="{352E85A4-2D0A-23B8-DDD0-EAEEB1BD858B}"/>
            </a:ext>
          </a:extLst>
        </xdr:cNvPr>
        <xdr:cNvSpPr/>
      </xdr:nvSpPr>
      <xdr:spPr>
        <a:xfrm>
          <a:off x="2872740" y="838200"/>
          <a:ext cx="2369820" cy="1051560"/>
        </a:xfrm>
        <a:prstGeom prst="round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a:t>
          </a:r>
          <a:r>
            <a:rPr lang="en-IN"/>
            <a:t> </a:t>
          </a:r>
          <a:r>
            <a:rPr lang="en-IN" sz="1800" b="1"/>
            <a:t>Average Discount</a:t>
          </a:r>
        </a:p>
        <a:p>
          <a:pPr algn="l"/>
          <a:r>
            <a:rPr lang="en-IN" sz="1800" b="1"/>
            <a:t>             </a:t>
          </a:r>
          <a:r>
            <a:rPr lang="en-IN" sz="1600" b="0" i="0" u="none" strike="noStrike">
              <a:solidFill>
                <a:schemeClr val="dk1"/>
              </a:solidFill>
              <a:effectLst/>
              <a:latin typeface="+mn-lt"/>
              <a:ea typeface="+mn-ea"/>
              <a:cs typeface="+mn-cs"/>
            </a:rPr>
            <a:t>15.44</a:t>
          </a:r>
          <a:r>
            <a:rPr lang="en-IN" sz="1600">
              <a:effectLst/>
            </a:rPr>
            <a:t> %</a:t>
          </a:r>
          <a:endParaRPr lang="en-IN" sz="1600" b="1"/>
        </a:p>
      </xdr:txBody>
    </xdr:sp>
    <xdr:clientData/>
  </xdr:twoCellAnchor>
  <xdr:twoCellAnchor>
    <xdr:from>
      <xdr:col>17</xdr:col>
      <xdr:colOff>304800</xdr:colOff>
      <xdr:row>3</xdr:row>
      <xdr:rowOff>7620</xdr:rowOff>
    </xdr:from>
    <xdr:to>
      <xdr:col>21</xdr:col>
      <xdr:colOff>320040</xdr:colOff>
      <xdr:row>8</xdr:row>
      <xdr:rowOff>137160</xdr:rowOff>
    </xdr:to>
    <xdr:sp macro="" textlink="">
      <xdr:nvSpPr>
        <xdr:cNvPr id="5" name="Rectangle: Rounded Corners 4">
          <a:extLst>
            <a:ext uri="{FF2B5EF4-FFF2-40B4-BE49-F238E27FC236}">
              <a16:creationId xmlns:a16="http://schemas.microsoft.com/office/drawing/2014/main" id="{93918523-1583-BCB4-8779-14AE6A151B1D}"/>
            </a:ext>
          </a:extLst>
        </xdr:cNvPr>
        <xdr:cNvSpPr/>
      </xdr:nvSpPr>
      <xdr:spPr>
        <a:xfrm>
          <a:off x="11292840" y="838200"/>
          <a:ext cx="2453640" cy="1043940"/>
        </a:xfrm>
        <a:prstGeom prst="round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   </a:t>
          </a:r>
          <a:r>
            <a:rPr lang="en-IN" sz="1800" b="1"/>
            <a:t>Total Profit</a:t>
          </a:r>
        </a:p>
        <a:p>
          <a:pPr algn="l"/>
          <a:r>
            <a:rPr lang="en-IN" sz="1600" b="1"/>
            <a:t>      </a:t>
          </a:r>
          <a:r>
            <a:rPr lang="en-IN" sz="1600" b="0" i="0" u="none" strike="noStrike">
              <a:solidFill>
                <a:schemeClr val="dk1"/>
              </a:solidFill>
              <a:effectLst/>
              <a:latin typeface="+mn-lt"/>
              <a:ea typeface="+mn-ea"/>
              <a:cs typeface="+mn-cs"/>
            </a:rPr>
            <a:t>₹</a:t>
          </a:r>
          <a:r>
            <a:rPr lang="en-IN" sz="1100" b="0" i="0" u="none" strike="noStrike">
              <a:solidFill>
                <a:schemeClr val="dk1"/>
              </a:solidFill>
              <a:effectLst/>
              <a:latin typeface="+mn-lt"/>
              <a:ea typeface="+mn-ea"/>
              <a:cs typeface="+mn-cs"/>
            </a:rPr>
            <a:t> </a:t>
          </a:r>
          <a:r>
            <a:rPr lang="en-IN" sz="1600">
              <a:effectLst/>
            </a:rPr>
            <a:t> </a:t>
          </a:r>
          <a:r>
            <a:rPr lang="en-IN" sz="1600" b="1"/>
            <a:t>  20898207  </a:t>
          </a:r>
          <a:r>
            <a:rPr lang="en-IN" sz="1600" b="0" i="0" u="none" strike="noStrike">
              <a:solidFill>
                <a:schemeClr val="dk1"/>
              </a:solidFill>
              <a:effectLst/>
              <a:latin typeface="+mn-lt"/>
              <a:ea typeface="+mn-ea"/>
              <a:cs typeface="+mn-cs"/>
            </a:rPr>
            <a:t>     </a:t>
          </a:r>
          <a:r>
            <a:rPr lang="en-IN" sz="1600" b="0" i="0" u="none" strike="noStrike" baseline="0">
              <a:solidFill>
                <a:schemeClr val="dk1"/>
              </a:solidFill>
              <a:effectLst/>
              <a:latin typeface="+mn-lt"/>
              <a:ea typeface="+mn-ea"/>
              <a:cs typeface="+mn-cs"/>
            </a:rPr>
            <a:t> </a:t>
          </a:r>
          <a:r>
            <a:rPr lang="en-IN" sz="1800" b="1"/>
            <a:t>          </a:t>
          </a:r>
        </a:p>
      </xdr:txBody>
    </xdr:sp>
    <xdr:clientData/>
  </xdr:twoCellAnchor>
  <xdr:twoCellAnchor>
    <xdr:from>
      <xdr:col>5</xdr:col>
      <xdr:colOff>15240</xdr:colOff>
      <xdr:row>11</xdr:row>
      <xdr:rowOff>7620</xdr:rowOff>
    </xdr:from>
    <xdr:to>
      <xdr:col>12</xdr:col>
      <xdr:colOff>30480</xdr:colOff>
      <xdr:row>25</xdr:row>
      <xdr:rowOff>152400</xdr:rowOff>
    </xdr:to>
    <xdr:graphicFrame macro="">
      <xdr:nvGraphicFramePr>
        <xdr:cNvPr id="6" name="Chart 5">
          <a:extLst>
            <a:ext uri="{FF2B5EF4-FFF2-40B4-BE49-F238E27FC236}">
              <a16:creationId xmlns:a16="http://schemas.microsoft.com/office/drawing/2014/main" id="{A798348E-354E-4E58-8B40-F4661C9B5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27</xdr:row>
      <xdr:rowOff>175260</xdr:rowOff>
    </xdr:from>
    <xdr:to>
      <xdr:col>12</xdr:col>
      <xdr:colOff>0</xdr:colOff>
      <xdr:row>42</xdr:row>
      <xdr:rowOff>175260</xdr:rowOff>
    </xdr:to>
    <xdr:graphicFrame macro="">
      <xdr:nvGraphicFramePr>
        <xdr:cNvPr id="7" name="Chart 6">
          <a:extLst>
            <a:ext uri="{FF2B5EF4-FFF2-40B4-BE49-F238E27FC236}">
              <a16:creationId xmlns:a16="http://schemas.microsoft.com/office/drawing/2014/main" id="{0541B314-43A3-4C8E-8901-02A922357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548640</xdr:colOff>
      <xdr:row>27</xdr:row>
      <xdr:rowOff>167640</xdr:rowOff>
    </xdr:from>
    <xdr:to>
      <xdr:col>21</xdr:col>
      <xdr:colOff>76200</xdr:colOff>
      <xdr:row>43</xdr:row>
      <xdr:rowOff>0</xdr:rowOff>
    </xdr:to>
    <xdr:graphicFrame macro="">
      <xdr:nvGraphicFramePr>
        <xdr:cNvPr id="9" name="Chart 8">
          <a:extLst>
            <a:ext uri="{FF2B5EF4-FFF2-40B4-BE49-F238E27FC236}">
              <a16:creationId xmlns:a16="http://schemas.microsoft.com/office/drawing/2014/main" id="{3E773223-6DF9-4D86-BE13-BD2F6FF02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7620</xdr:colOff>
      <xdr:row>11</xdr:row>
      <xdr:rowOff>7620</xdr:rowOff>
    </xdr:from>
    <xdr:to>
      <xdr:col>21</xdr:col>
      <xdr:colOff>106680</xdr:colOff>
      <xdr:row>26</xdr:row>
      <xdr:rowOff>7620</xdr:rowOff>
    </xdr:to>
    <xdr:graphicFrame macro="">
      <xdr:nvGraphicFramePr>
        <xdr:cNvPr id="10" name="Chart 9">
          <a:extLst>
            <a:ext uri="{FF2B5EF4-FFF2-40B4-BE49-F238E27FC236}">
              <a16:creationId xmlns:a16="http://schemas.microsoft.com/office/drawing/2014/main" id="{8295E14D-F819-46B5-AD74-F66DA43A4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xdr:colOff>
      <xdr:row>44</xdr:row>
      <xdr:rowOff>175260</xdr:rowOff>
    </xdr:from>
    <xdr:to>
      <xdr:col>12</xdr:col>
      <xdr:colOff>0</xdr:colOff>
      <xdr:row>59</xdr:row>
      <xdr:rowOff>175260</xdr:rowOff>
    </xdr:to>
    <xdr:graphicFrame macro="">
      <xdr:nvGraphicFramePr>
        <xdr:cNvPr id="11" name="Chart 10">
          <a:extLst>
            <a:ext uri="{FF2B5EF4-FFF2-40B4-BE49-F238E27FC236}">
              <a16:creationId xmlns:a16="http://schemas.microsoft.com/office/drawing/2014/main" id="{E9AADE47-616C-4C7C-812D-1139E701B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243840</xdr:colOff>
      <xdr:row>22</xdr:row>
      <xdr:rowOff>114300</xdr:rowOff>
    </xdr:from>
    <xdr:to>
      <xdr:col>3</xdr:col>
      <xdr:colOff>243840</xdr:colOff>
      <xdr:row>36</xdr:row>
      <xdr:rowOff>20955</xdr:rowOff>
    </xdr:to>
    <mc:AlternateContent xmlns:mc="http://schemas.openxmlformats.org/markup-compatibility/2006">
      <mc:Choice xmlns:a14="http://schemas.microsoft.com/office/drawing/2010/main" Requires="a14">
        <xdr:graphicFrame macro="">
          <xdr:nvGraphicFramePr>
            <xdr:cNvPr id="12" name="date_year">
              <a:extLst>
                <a:ext uri="{FF2B5EF4-FFF2-40B4-BE49-F238E27FC236}">
                  <a16:creationId xmlns:a16="http://schemas.microsoft.com/office/drawing/2014/main" id="{42EBF645-9007-48DF-AB39-AE5875CD7ED3}"/>
                </a:ext>
              </a:extLst>
            </xdr:cNvPr>
            <xdr:cNvGraphicFramePr/>
          </xdr:nvGraphicFramePr>
          <xdr:xfrm>
            <a:off x="0" y="0"/>
            <a:ext cx="0" cy="0"/>
          </xdr:xfrm>
          <a:graphic>
            <a:graphicData uri="http://schemas.microsoft.com/office/drawing/2010/slicer">
              <sle:slicer xmlns:sle="http://schemas.microsoft.com/office/drawing/2010/slicer" name="date_year"/>
            </a:graphicData>
          </a:graphic>
        </xdr:graphicFrame>
      </mc:Choice>
      <mc:Fallback>
        <xdr:sp macro="" textlink="">
          <xdr:nvSpPr>
            <xdr:cNvPr id="0" name=""/>
            <xdr:cNvSpPr>
              <a:spLocks noTextEdit="1"/>
            </xdr:cNvSpPr>
          </xdr:nvSpPr>
          <xdr:spPr>
            <a:xfrm>
              <a:off x="243840" y="4419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36</xdr:row>
      <xdr:rowOff>68580</xdr:rowOff>
    </xdr:from>
    <xdr:to>
      <xdr:col>3</xdr:col>
      <xdr:colOff>228600</xdr:colOff>
      <xdr:row>49</xdr:row>
      <xdr:rowOff>158115</xdr:rowOff>
    </xdr:to>
    <mc:AlternateContent xmlns:mc="http://schemas.openxmlformats.org/markup-compatibility/2006">
      <mc:Choice xmlns:a14="http://schemas.microsoft.com/office/drawing/2010/main" Requires="a14">
        <xdr:graphicFrame macro="">
          <xdr:nvGraphicFramePr>
            <xdr:cNvPr id="13" name="Quarter">
              <a:extLst>
                <a:ext uri="{FF2B5EF4-FFF2-40B4-BE49-F238E27FC236}">
                  <a16:creationId xmlns:a16="http://schemas.microsoft.com/office/drawing/2014/main" id="{CFA0E335-F7B8-F3F9-FF72-004FEF907DF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28600" y="6934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50</xdr:row>
      <xdr:rowOff>30480</xdr:rowOff>
    </xdr:from>
    <xdr:to>
      <xdr:col>3</xdr:col>
      <xdr:colOff>228600</xdr:colOff>
      <xdr:row>63</xdr:row>
      <xdr:rowOff>120015</xdr:rowOff>
    </xdr:to>
    <mc:AlternateContent xmlns:mc="http://schemas.openxmlformats.org/markup-compatibility/2006">
      <mc:Choice xmlns:a14="http://schemas.microsoft.com/office/drawing/2010/main" Requires="a14">
        <xdr:graphicFrame macro="">
          <xdr:nvGraphicFramePr>
            <xdr:cNvPr id="14" name="Sales_Rep">
              <a:extLst>
                <a:ext uri="{FF2B5EF4-FFF2-40B4-BE49-F238E27FC236}">
                  <a16:creationId xmlns:a16="http://schemas.microsoft.com/office/drawing/2014/main" id="{C9DC6BB4-F253-EE72-3DF4-55D90DDC6A67}"/>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228600" y="9456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8</xdr:row>
      <xdr:rowOff>160020</xdr:rowOff>
    </xdr:from>
    <xdr:to>
      <xdr:col>3</xdr:col>
      <xdr:colOff>251460</xdr:colOff>
      <xdr:row>22</xdr:row>
      <xdr:rowOff>66675</xdr:rowOff>
    </xdr:to>
    <mc:AlternateContent xmlns:mc="http://schemas.openxmlformats.org/markup-compatibility/2006">
      <mc:Choice xmlns:a14="http://schemas.microsoft.com/office/drawing/2010/main" Requires="a14">
        <xdr:graphicFrame macro="">
          <xdr:nvGraphicFramePr>
            <xdr:cNvPr id="15" name="City">
              <a:extLst>
                <a:ext uri="{FF2B5EF4-FFF2-40B4-BE49-F238E27FC236}">
                  <a16:creationId xmlns:a16="http://schemas.microsoft.com/office/drawing/2014/main" id="{11D7D6FD-F773-3A4C-3C62-41CDB747333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51460" y="1905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342900</xdr:colOff>
      <xdr:row>2</xdr:row>
      <xdr:rowOff>175260</xdr:rowOff>
    </xdr:from>
    <xdr:to>
      <xdr:col>16</xdr:col>
      <xdr:colOff>594360</xdr:colOff>
      <xdr:row>8</xdr:row>
      <xdr:rowOff>137160</xdr:rowOff>
    </xdr:to>
    <xdr:sp macro="" textlink="">
      <xdr:nvSpPr>
        <xdr:cNvPr id="18" name="Rectangle: Rounded Corners 17">
          <a:extLst>
            <a:ext uri="{FF2B5EF4-FFF2-40B4-BE49-F238E27FC236}">
              <a16:creationId xmlns:a16="http://schemas.microsoft.com/office/drawing/2014/main" id="{DBB326ED-B6B9-E2F2-54FA-572492831993}"/>
            </a:ext>
          </a:extLst>
        </xdr:cNvPr>
        <xdr:cNvSpPr/>
      </xdr:nvSpPr>
      <xdr:spPr>
        <a:xfrm>
          <a:off x="8282940" y="822960"/>
          <a:ext cx="2689860" cy="1059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               </a:t>
          </a:r>
          <a:r>
            <a:rPr lang="en-IN" sz="2000" b="1">
              <a:solidFill>
                <a:schemeClr val="tx1"/>
              </a:solidFill>
            </a:rPr>
            <a:t>Profit%</a:t>
          </a:r>
        </a:p>
        <a:p>
          <a:pPr algn="l"/>
          <a:r>
            <a:rPr lang="en-IN" sz="2000" b="1">
              <a:solidFill>
                <a:schemeClr val="tx1"/>
              </a:solidFill>
            </a:rPr>
            <a:t>              85.65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0.352880787039" createdVersion="8" refreshedVersion="8" minRefreshableVersion="3" recordCount="1000" xr:uid="{10BC63B3-B3D3-4AE7-B9CF-DD7DB7379D68}">
  <cacheSource type="worksheet">
    <worksheetSource name="Table1"/>
  </cacheSource>
  <cacheFields count="14">
    <cacheField name="Order_ID" numFmtId="0">
      <sharedItems/>
    </cacheField>
    <cacheField name="Date" numFmtId="14">
      <sharedItems containsSemiMixedTypes="0" containsNonDate="0" containsDate="1" containsString="0" minDate="2024-01-02T00:00:00" maxDate="2024-12-31T00:00:00"/>
    </cacheField>
    <cacheField name="Month" numFmtId="0">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City" numFmtId="0">
      <sharedItems count="4">
        <s v="Kolkata"/>
        <s v="Mumbai"/>
        <s v="Hyderabad"/>
        <s v="Delhi"/>
      </sharedItems>
    </cacheField>
    <cacheField name="Category" numFmtId="0">
      <sharedItems count="6">
        <s v="Accessories"/>
        <s v="Trousers"/>
        <s v="Ethnic Wear"/>
        <s v="Dresses"/>
        <s v="Jackets"/>
        <s v="Shirts"/>
      </sharedItems>
    </cacheField>
    <cacheField name="Product_Name" numFmtId="0">
      <sharedItems/>
    </cacheField>
    <cacheField name="Units_Sold" numFmtId="0">
      <sharedItems containsSemiMixedTypes="0" containsString="0" containsNumber="1" containsInteger="1" minValue="1" maxValue="15"/>
    </cacheField>
    <cacheField name="Price_INR" numFmtId="0">
      <sharedItems containsSemiMixedTypes="0" containsString="0" containsNumber="1" containsInteger="1" minValue="300" maxValue="12920"/>
    </cacheField>
    <cacheField name="Discount_%" numFmtId="0">
      <sharedItems containsSemiMixedTypes="0" containsString="0" containsNumber="1" containsInteger="1" minValue="0" maxValue="30"/>
    </cacheField>
    <cacheField name="Revenue_INR" numFmtId="0">
      <sharedItems containsSemiMixedTypes="0" containsString="0" containsNumber="1" minValue="570" maxValue="180150"/>
    </cacheField>
    <cacheField name="Sales_Rep" numFmtId="0">
      <sharedItems count="12">
        <s v="Arjun Chatterjee"/>
        <s v="Priya Patel"/>
        <s v="Ananya Rao"/>
        <s v="Kavya Malhotra"/>
        <s v="Rahul Sharma"/>
        <s v="Vikram Reddy"/>
        <s v="Neha Gupta"/>
        <s v="Rohit Singh"/>
        <s v="Shreya Das"/>
        <s v="Suresh Kumar"/>
        <s v="Amit Shah"/>
        <s v="Dipankar Bose"/>
      </sharedItems>
    </cacheField>
    <cacheField name="Profit" numFmtId="165">
      <sharedItems containsSemiMixedTypes="0" containsString="0" containsNumber="1" minValue="-3615" maxValue="168140"/>
    </cacheField>
    <cacheField name="date_year" numFmtId="0">
      <sharedItems containsSemiMixedTypes="0" containsString="0" containsNumber="1" containsInteger="1" minValue="2024" maxValue="2024" count="1">
        <n v="2024"/>
      </sharedItems>
    </cacheField>
  </cacheFields>
  <extLst>
    <ext xmlns:x14="http://schemas.microsoft.com/office/spreadsheetml/2009/9/main" uri="{725AE2AE-9491-48be-B2B4-4EB974FC3084}">
      <x14:pivotCacheDefinition pivotCacheId="538890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WD0317"/>
    <d v="2024-01-02T00:00:00"/>
    <x v="0"/>
    <x v="0"/>
    <x v="0"/>
    <x v="0"/>
    <s v="Cap"/>
    <n v="7"/>
    <n v="2250"/>
    <n v="10"/>
    <n v="14175"/>
    <x v="0"/>
    <n v="11925"/>
    <x v="0"/>
  </r>
  <r>
    <s v="WD0114"/>
    <d v="2024-01-02T00:00:00"/>
    <x v="0"/>
    <x v="0"/>
    <x v="1"/>
    <x v="1"/>
    <s v="Formal Black Trousers"/>
    <n v="2"/>
    <n v="1270"/>
    <n v="5"/>
    <n v="2413"/>
    <x v="1"/>
    <n v="1143"/>
    <x v="0"/>
  </r>
  <r>
    <s v="WD0628"/>
    <d v="2024-01-03T00:00:00"/>
    <x v="0"/>
    <x v="0"/>
    <x v="2"/>
    <x v="2"/>
    <s v="Sherwani"/>
    <n v="7"/>
    <n v="10790"/>
    <n v="5"/>
    <n v="71753.5"/>
    <x v="2"/>
    <n v="60963.5"/>
    <x v="0"/>
  </r>
  <r>
    <s v="WD0307"/>
    <d v="2024-01-04T00:00:00"/>
    <x v="0"/>
    <x v="0"/>
    <x v="1"/>
    <x v="1"/>
    <s v="Formal Black Trousers"/>
    <n v="15"/>
    <n v="2090"/>
    <n v="5"/>
    <n v="29782.5"/>
    <x v="1"/>
    <n v="27692.5"/>
    <x v="0"/>
  </r>
  <r>
    <s v="WD0659"/>
    <d v="2024-01-04T00:00:00"/>
    <x v="0"/>
    <x v="0"/>
    <x v="0"/>
    <x v="3"/>
    <s v="Casual Sundress"/>
    <n v="12"/>
    <n v="1030"/>
    <n v="30"/>
    <n v="8652"/>
    <x v="0"/>
    <n v="7622"/>
    <x v="0"/>
  </r>
  <r>
    <s v="WD0643"/>
    <d v="2024-01-04T00:00:00"/>
    <x v="0"/>
    <x v="0"/>
    <x v="3"/>
    <x v="3"/>
    <s v="Wrap Dress"/>
    <n v="15"/>
    <n v="4960"/>
    <n v="20"/>
    <n v="59520"/>
    <x v="3"/>
    <n v="54560"/>
    <x v="0"/>
  </r>
  <r>
    <s v="WD0824"/>
    <d v="2024-01-04T00:00:00"/>
    <x v="0"/>
    <x v="0"/>
    <x v="1"/>
    <x v="3"/>
    <s v="Evening Gown"/>
    <n v="6"/>
    <n v="3530"/>
    <n v="30"/>
    <n v="14826"/>
    <x v="4"/>
    <n v="11296"/>
    <x v="0"/>
  </r>
  <r>
    <s v="WD0050"/>
    <d v="2024-01-05T00:00:00"/>
    <x v="0"/>
    <x v="0"/>
    <x v="2"/>
    <x v="0"/>
    <s v="Handbag"/>
    <n v="7"/>
    <n v="1790"/>
    <n v="20"/>
    <n v="10024"/>
    <x v="5"/>
    <n v="8234"/>
    <x v="0"/>
  </r>
  <r>
    <s v="WD0888"/>
    <d v="2024-01-05T00:00:00"/>
    <x v="0"/>
    <x v="0"/>
    <x v="3"/>
    <x v="0"/>
    <s v="Silk Scarf"/>
    <n v="1"/>
    <n v="1140"/>
    <n v="25"/>
    <n v="855"/>
    <x v="6"/>
    <n v="-285"/>
    <x v="0"/>
  </r>
  <r>
    <s v="WD0043"/>
    <d v="2024-01-05T00:00:00"/>
    <x v="0"/>
    <x v="0"/>
    <x v="3"/>
    <x v="4"/>
    <s v="Bomber Jacket"/>
    <n v="15"/>
    <n v="8500"/>
    <n v="0"/>
    <n v="127500"/>
    <x v="7"/>
    <n v="119000"/>
    <x v="0"/>
  </r>
  <r>
    <s v="WD0527"/>
    <d v="2024-01-05T00:00:00"/>
    <x v="0"/>
    <x v="0"/>
    <x v="1"/>
    <x v="4"/>
    <s v="Leather Jacket"/>
    <n v="10"/>
    <n v="6530"/>
    <n v="30"/>
    <n v="45710"/>
    <x v="4"/>
    <n v="39180"/>
    <x v="0"/>
  </r>
  <r>
    <s v="WD0555"/>
    <d v="2024-01-05T00:00:00"/>
    <x v="0"/>
    <x v="0"/>
    <x v="0"/>
    <x v="0"/>
    <s v="Silk Scarf"/>
    <n v="11"/>
    <n v="850"/>
    <n v="25"/>
    <n v="7012.5"/>
    <x v="8"/>
    <n v="6162.5"/>
    <x v="0"/>
  </r>
  <r>
    <s v="WD0034"/>
    <d v="2024-01-08T00:00:00"/>
    <x v="0"/>
    <x v="0"/>
    <x v="1"/>
    <x v="4"/>
    <s v="Denim Jacket"/>
    <n v="9"/>
    <n v="2350"/>
    <n v="30"/>
    <n v="14805"/>
    <x v="4"/>
    <n v="12455"/>
    <x v="0"/>
  </r>
  <r>
    <s v="WD0101"/>
    <d v="2024-01-09T00:00:00"/>
    <x v="0"/>
    <x v="0"/>
    <x v="2"/>
    <x v="0"/>
    <s v="Handbag"/>
    <n v="8"/>
    <n v="2040"/>
    <n v="15"/>
    <n v="13872"/>
    <x v="5"/>
    <n v="11832"/>
    <x v="0"/>
  </r>
  <r>
    <s v="WD0283"/>
    <d v="2024-01-09T00:00:00"/>
    <x v="0"/>
    <x v="0"/>
    <x v="3"/>
    <x v="2"/>
    <s v="Lehenga"/>
    <n v="5"/>
    <n v="9650"/>
    <n v="15"/>
    <n v="41012.5"/>
    <x v="7"/>
    <n v="31362.5"/>
    <x v="0"/>
  </r>
  <r>
    <s v="WD0911"/>
    <d v="2024-01-10T00:00:00"/>
    <x v="0"/>
    <x v="0"/>
    <x v="2"/>
    <x v="5"/>
    <s v="Classic White Shirt"/>
    <n v="8"/>
    <n v="2000"/>
    <n v="25"/>
    <n v="12000"/>
    <x v="2"/>
    <n v="10000"/>
    <x v="0"/>
  </r>
  <r>
    <s v="WD0229"/>
    <d v="2024-01-10T00:00:00"/>
    <x v="0"/>
    <x v="0"/>
    <x v="2"/>
    <x v="0"/>
    <s v="Handbag"/>
    <n v="1"/>
    <n v="1510"/>
    <n v="0"/>
    <n v="1510"/>
    <x v="2"/>
    <n v="0"/>
    <x v="0"/>
  </r>
  <r>
    <s v="WD0472"/>
    <d v="2024-01-10T00:00:00"/>
    <x v="0"/>
    <x v="0"/>
    <x v="2"/>
    <x v="0"/>
    <s v="Silk Scarf"/>
    <n v="13"/>
    <n v="2000"/>
    <n v="20"/>
    <n v="20800"/>
    <x v="2"/>
    <n v="18800"/>
    <x v="0"/>
  </r>
  <r>
    <s v="WD0515"/>
    <d v="2024-01-11T00:00:00"/>
    <x v="0"/>
    <x v="0"/>
    <x v="1"/>
    <x v="0"/>
    <s v="Handbag"/>
    <n v="15"/>
    <n v="2790"/>
    <n v="10"/>
    <n v="37665"/>
    <x v="1"/>
    <n v="34875"/>
    <x v="0"/>
  </r>
  <r>
    <s v="WD0526"/>
    <d v="2024-01-11T00:00:00"/>
    <x v="0"/>
    <x v="0"/>
    <x v="2"/>
    <x v="0"/>
    <s v="Silk Scarf"/>
    <n v="7"/>
    <n v="1030"/>
    <n v="20"/>
    <n v="5768"/>
    <x v="9"/>
    <n v="4738"/>
    <x v="0"/>
  </r>
  <r>
    <s v="WD0821"/>
    <d v="2024-01-13T00:00:00"/>
    <x v="0"/>
    <x v="0"/>
    <x v="2"/>
    <x v="0"/>
    <s v="Cap"/>
    <n v="1"/>
    <n v="2940"/>
    <n v="0"/>
    <n v="2940"/>
    <x v="2"/>
    <n v="0"/>
    <x v="0"/>
  </r>
  <r>
    <s v="WD0927"/>
    <d v="2024-01-15T00:00:00"/>
    <x v="0"/>
    <x v="0"/>
    <x v="1"/>
    <x v="0"/>
    <s v="Leather Belt"/>
    <n v="3"/>
    <n v="2800"/>
    <n v="5"/>
    <n v="7980"/>
    <x v="1"/>
    <n v="5180"/>
    <x v="0"/>
  </r>
  <r>
    <s v="WD0227"/>
    <d v="2024-01-15T00:00:00"/>
    <x v="0"/>
    <x v="0"/>
    <x v="3"/>
    <x v="1"/>
    <s v="Cargo Trousers"/>
    <n v="6"/>
    <n v="3480"/>
    <n v="5"/>
    <n v="19836"/>
    <x v="7"/>
    <n v="16356"/>
    <x v="0"/>
  </r>
  <r>
    <s v="WD0265"/>
    <d v="2024-01-15T00:00:00"/>
    <x v="0"/>
    <x v="0"/>
    <x v="2"/>
    <x v="0"/>
    <s v="Cap"/>
    <n v="10"/>
    <n v="2570"/>
    <n v="0"/>
    <n v="25700"/>
    <x v="5"/>
    <n v="23130"/>
    <x v="0"/>
  </r>
  <r>
    <s v="WD0189"/>
    <d v="2024-01-16T00:00:00"/>
    <x v="0"/>
    <x v="0"/>
    <x v="2"/>
    <x v="1"/>
    <s v="Cargo Trousers"/>
    <n v="12"/>
    <n v="990"/>
    <n v="25"/>
    <n v="8910"/>
    <x v="5"/>
    <n v="7920"/>
    <x v="0"/>
  </r>
  <r>
    <s v="WD0087"/>
    <d v="2024-01-16T00:00:00"/>
    <x v="0"/>
    <x v="0"/>
    <x v="3"/>
    <x v="1"/>
    <s v="Slim Fit Chinos"/>
    <n v="11"/>
    <n v="2910"/>
    <n v="0"/>
    <n v="32010"/>
    <x v="6"/>
    <n v="29100"/>
    <x v="0"/>
  </r>
  <r>
    <s v="WD0783"/>
    <d v="2024-01-16T00:00:00"/>
    <x v="0"/>
    <x v="0"/>
    <x v="1"/>
    <x v="0"/>
    <s v="Cap"/>
    <n v="15"/>
    <n v="2670"/>
    <n v="30"/>
    <n v="28035"/>
    <x v="10"/>
    <n v="25365"/>
    <x v="0"/>
  </r>
  <r>
    <s v="WD0742"/>
    <d v="2024-01-17T00:00:00"/>
    <x v="0"/>
    <x v="0"/>
    <x v="1"/>
    <x v="5"/>
    <s v="Classic White Shirt"/>
    <n v="3"/>
    <n v="680"/>
    <n v="5"/>
    <n v="1938"/>
    <x v="4"/>
    <n v="1258"/>
    <x v="0"/>
  </r>
  <r>
    <s v="WD0401"/>
    <d v="2024-01-17T00:00:00"/>
    <x v="0"/>
    <x v="0"/>
    <x v="1"/>
    <x v="2"/>
    <s v="Kurta Set"/>
    <n v="4"/>
    <n v="10650"/>
    <n v="10"/>
    <n v="38340"/>
    <x v="1"/>
    <n v="27690"/>
    <x v="0"/>
  </r>
  <r>
    <s v="WD0506"/>
    <d v="2024-01-18T00:00:00"/>
    <x v="0"/>
    <x v="0"/>
    <x v="0"/>
    <x v="2"/>
    <s v="Saree"/>
    <n v="2"/>
    <n v="6980"/>
    <n v="15"/>
    <n v="11866"/>
    <x v="0"/>
    <n v="4886"/>
    <x v="0"/>
  </r>
  <r>
    <s v="WD0754"/>
    <d v="2024-01-18T00:00:00"/>
    <x v="0"/>
    <x v="0"/>
    <x v="3"/>
    <x v="3"/>
    <s v="Wrap Dress"/>
    <n v="7"/>
    <n v="3240"/>
    <n v="0"/>
    <n v="22680"/>
    <x v="7"/>
    <n v="19440"/>
    <x v="0"/>
  </r>
  <r>
    <s v="WD0726"/>
    <d v="2024-01-18T00:00:00"/>
    <x v="0"/>
    <x v="0"/>
    <x v="1"/>
    <x v="5"/>
    <s v="Casual Polo"/>
    <n v="8"/>
    <n v="1330"/>
    <n v="5"/>
    <n v="10108"/>
    <x v="4"/>
    <n v="8778"/>
    <x v="0"/>
  </r>
  <r>
    <s v="WD0446"/>
    <d v="2024-01-19T00:00:00"/>
    <x v="0"/>
    <x v="0"/>
    <x v="0"/>
    <x v="3"/>
    <s v="Wrap Dress"/>
    <n v="3"/>
    <n v="5600"/>
    <n v="30"/>
    <n v="11760"/>
    <x v="0"/>
    <n v="6160"/>
    <x v="0"/>
  </r>
  <r>
    <s v="WD0812"/>
    <d v="2024-01-19T00:00:00"/>
    <x v="0"/>
    <x v="0"/>
    <x v="2"/>
    <x v="5"/>
    <s v="Casual Polo"/>
    <n v="11"/>
    <n v="880"/>
    <n v="10"/>
    <n v="8712"/>
    <x v="5"/>
    <n v="7832"/>
    <x v="0"/>
  </r>
  <r>
    <s v="WD0613"/>
    <d v="2024-01-20T00:00:00"/>
    <x v="0"/>
    <x v="0"/>
    <x v="1"/>
    <x v="0"/>
    <s v="Silk Scarf"/>
    <n v="12"/>
    <n v="360"/>
    <n v="10"/>
    <n v="3888"/>
    <x v="4"/>
    <n v="3528"/>
    <x v="0"/>
  </r>
  <r>
    <s v="WD0056"/>
    <d v="2024-01-20T00:00:00"/>
    <x v="0"/>
    <x v="0"/>
    <x v="2"/>
    <x v="3"/>
    <s v="Casual Sundress"/>
    <n v="2"/>
    <n v="4940"/>
    <n v="15"/>
    <n v="8398"/>
    <x v="2"/>
    <n v="3458"/>
    <x v="0"/>
  </r>
  <r>
    <s v="WD0552"/>
    <d v="2024-01-20T00:00:00"/>
    <x v="0"/>
    <x v="0"/>
    <x v="1"/>
    <x v="2"/>
    <s v="Saree"/>
    <n v="12"/>
    <n v="2920"/>
    <n v="25"/>
    <n v="26280"/>
    <x v="1"/>
    <n v="23360"/>
    <x v="0"/>
  </r>
  <r>
    <s v="WD0302"/>
    <d v="2024-01-20T00:00:00"/>
    <x v="0"/>
    <x v="0"/>
    <x v="0"/>
    <x v="4"/>
    <s v="Leather Jacket"/>
    <n v="14"/>
    <n v="8560"/>
    <n v="10"/>
    <n v="107856"/>
    <x v="11"/>
    <n v="99296"/>
    <x v="0"/>
  </r>
  <r>
    <s v="WD0833"/>
    <d v="2024-01-20T00:00:00"/>
    <x v="0"/>
    <x v="0"/>
    <x v="3"/>
    <x v="1"/>
    <s v="Jogger Pants"/>
    <n v="6"/>
    <n v="1270"/>
    <n v="30"/>
    <n v="5334"/>
    <x v="6"/>
    <n v="4064"/>
    <x v="0"/>
  </r>
  <r>
    <s v="WD0052"/>
    <d v="2024-01-21T00:00:00"/>
    <x v="0"/>
    <x v="0"/>
    <x v="2"/>
    <x v="4"/>
    <s v="Leather Jacket"/>
    <n v="6"/>
    <n v="2290"/>
    <n v="30"/>
    <n v="9618"/>
    <x v="2"/>
    <n v="7328"/>
    <x v="0"/>
  </r>
  <r>
    <s v="WD0947"/>
    <d v="2024-01-21T00:00:00"/>
    <x v="0"/>
    <x v="0"/>
    <x v="3"/>
    <x v="5"/>
    <s v="Classic White Shirt"/>
    <n v="8"/>
    <n v="1330"/>
    <n v="20"/>
    <n v="8512"/>
    <x v="7"/>
    <n v="7182"/>
    <x v="0"/>
  </r>
  <r>
    <s v="WD0600"/>
    <d v="2024-01-21T00:00:00"/>
    <x v="0"/>
    <x v="0"/>
    <x v="1"/>
    <x v="1"/>
    <s v="Formal Black Trousers"/>
    <n v="2"/>
    <n v="2780"/>
    <n v="15"/>
    <n v="4726"/>
    <x v="1"/>
    <n v="1946"/>
    <x v="0"/>
  </r>
  <r>
    <s v="WD0334"/>
    <d v="2024-01-21T00:00:00"/>
    <x v="0"/>
    <x v="0"/>
    <x v="2"/>
    <x v="5"/>
    <s v="Formal Blue Shirt"/>
    <n v="10"/>
    <n v="1320"/>
    <n v="20"/>
    <n v="10560"/>
    <x v="5"/>
    <n v="9240"/>
    <x v="0"/>
  </r>
  <r>
    <s v="WD0197"/>
    <d v="2024-01-22T00:00:00"/>
    <x v="0"/>
    <x v="0"/>
    <x v="2"/>
    <x v="2"/>
    <s v="Sherwani"/>
    <n v="14"/>
    <n v="2330"/>
    <n v="25"/>
    <n v="24465"/>
    <x v="2"/>
    <n v="22135"/>
    <x v="0"/>
  </r>
  <r>
    <s v="WD0885"/>
    <d v="2024-01-22T00:00:00"/>
    <x v="0"/>
    <x v="0"/>
    <x v="3"/>
    <x v="4"/>
    <s v="Blazer"/>
    <n v="9"/>
    <n v="6750"/>
    <n v="25"/>
    <n v="45562.5"/>
    <x v="6"/>
    <n v="38812.5"/>
    <x v="0"/>
  </r>
  <r>
    <s v="WD0995"/>
    <d v="2024-01-22T00:00:00"/>
    <x v="0"/>
    <x v="0"/>
    <x v="1"/>
    <x v="5"/>
    <s v="Classic White Shirt"/>
    <n v="13"/>
    <n v="2070"/>
    <n v="15"/>
    <n v="22873.5"/>
    <x v="4"/>
    <n v="20803.5"/>
    <x v="0"/>
  </r>
  <r>
    <s v="WD0239"/>
    <d v="2024-01-22T00:00:00"/>
    <x v="0"/>
    <x v="0"/>
    <x v="0"/>
    <x v="5"/>
    <s v="Formal Blue Shirt"/>
    <n v="13"/>
    <n v="980"/>
    <n v="5"/>
    <n v="12103"/>
    <x v="8"/>
    <n v="11123"/>
    <x v="0"/>
  </r>
  <r>
    <s v="WD0006"/>
    <d v="2024-01-23T00:00:00"/>
    <x v="0"/>
    <x v="0"/>
    <x v="0"/>
    <x v="5"/>
    <s v="Formal Blue Shirt"/>
    <n v="10"/>
    <n v="2210"/>
    <n v="10"/>
    <n v="19890"/>
    <x v="0"/>
    <n v="17680"/>
    <x v="0"/>
  </r>
  <r>
    <s v="WD0996"/>
    <d v="2024-01-23T00:00:00"/>
    <x v="0"/>
    <x v="0"/>
    <x v="1"/>
    <x v="5"/>
    <s v="Classic White Shirt"/>
    <n v="15"/>
    <n v="1490"/>
    <n v="10"/>
    <n v="20115"/>
    <x v="4"/>
    <n v="18625"/>
    <x v="0"/>
  </r>
  <r>
    <s v="WD0822"/>
    <d v="2024-01-24T00:00:00"/>
    <x v="0"/>
    <x v="0"/>
    <x v="1"/>
    <x v="0"/>
    <s v="Silk Scarf"/>
    <n v="7"/>
    <n v="2460"/>
    <n v="15"/>
    <n v="14637"/>
    <x v="1"/>
    <n v="12177"/>
    <x v="0"/>
  </r>
  <r>
    <s v="WD0563"/>
    <d v="2024-01-24T00:00:00"/>
    <x v="0"/>
    <x v="0"/>
    <x v="3"/>
    <x v="3"/>
    <s v="Evening Gown"/>
    <n v="2"/>
    <n v="3130"/>
    <n v="0"/>
    <n v="6260"/>
    <x v="6"/>
    <n v="3130"/>
    <x v="0"/>
  </r>
  <r>
    <s v="WD0417"/>
    <d v="2024-01-25T00:00:00"/>
    <x v="0"/>
    <x v="0"/>
    <x v="2"/>
    <x v="2"/>
    <s v="Lehenga"/>
    <n v="15"/>
    <n v="10560"/>
    <n v="25"/>
    <n v="118800"/>
    <x v="5"/>
    <n v="108240"/>
    <x v="0"/>
  </r>
  <r>
    <s v="WD0959"/>
    <d v="2024-01-25T00:00:00"/>
    <x v="0"/>
    <x v="0"/>
    <x v="3"/>
    <x v="1"/>
    <s v="Cargo Trousers"/>
    <n v="5"/>
    <n v="1800"/>
    <n v="30"/>
    <n v="6300"/>
    <x v="6"/>
    <n v="4500"/>
    <x v="0"/>
  </r>
  <r>
    <s v="WD0325"/>
    <d v="2024-01-25T00:00:00"/>
    <x v="0"/>
    <x v="0"/>
    <x v="1"/>
    <x v="5"/>
    <s v="Classic White Shirt"/>
    <n v="11"/>
    <n v="1450"/>
    <n v="25"/>
    <n v="11962.5"/>
    <x v="4"/>
    <n v="10512.5"/>
    <x v="0"/>
  </r>
  <r>
    <s v="WD0696"/>
    <d v="2024-01-25T00:00:00"/>
    <x v="0"/>
    <x v="0"/>
    <x v="3"/>
    <x v="4"/>
    <s v="Bomber Jacket"/>
    <n v="14"/>
    <n v="3760"/>
    <n v="20"/>
    <n v="42112"/>
    <x v="7"/>
    <n v="38352"/>
    <x v="0"/>
  </r>
  <r>
    <s v="WD0048"/>
    <d v="2024-01-27T00:00:00"/>
    <x v="0"/>
    <x v="0"/>
    <x v="3"/>
    <x v="2"/>
    <s v="Lehenga"/>
    <n v="15"/>
    <n v="4390"/>
    <n v="30"/>
    <n v="46095"/>
    <x v="6"/>
    <n v="41705"/>
    <x v="0"/>
  </r>
  <r>
    <s v="WD0729"/>
    <d v="2024-01-27T00:00:00"/>
    <x v="0"/>
    <x v="0"/>
    <x v="1"/>
    <x v="3"/>
    <s v="Wrap Dress"/>
    <n v="4"/>
    <n v="4190"/>
    <n v="10"/>
    <n v="15084"/>
    <x v="10"/>
    <n v="10894"/>
    <x v="0"/>
  </r>
  <r>
    <s v="WD0496"/>
    <d v="2024-01-28T00:00:00"/>
    <x v="0"/>
    <x v="0"/>
    <x v="0"/>
    <x v="0"/>
    <s v="Silk Scarf"/>
    <n v="7"/>
    <n v="1940"/>
    <n v="5"/>
    <n v="12901"/>
    <x v="11"/>
    <n v="10961"/>
    <x v="0"/>
  </r>
  <r>
    <s v="WD0860"/>
    <d v="2024-01-28T00:00:00"/>
    <x v="0"/>
    <x v="0"/>
    <x v="0"/>
    <x v="1"/>
    <s v="Jogger Pants"/>
    <n v="15"/>
    <n v="970"/>
    <n v="20"/>
    <n v="11640"/>
    <x v="11"/>
    <n v="10670"/>
    <x v="0"/>
  </r>
  <r>
    <s v="WD0925"/>
    <d v="2024-01-28T00:00:00"/>
    <x v="0"/>
    <x v="0"/>
    <x v="0"/>
    <x v="4"/>
    <s v="Leather Jacket"/>
    <n v="15"/>
    <n v="3120"/>
    <n v="0"/>
    <n v="46800"/>
    <x v="0"/>
    <n v="43680"/>
    <x v="0"/>
  </r>
  <r>
    <s v="WD0326"/>
    <d v="2024-01-29T00:00:00"/>
    <x v="0"/>
    <x v="0"/>
    <x v="1"/>
    <x v="4"/>
    <s v="Blazer"/>
    <n v="4"/>
    <n v="3640"/>
    <n v="30"/>
    <n v="10192"/>
    <x v="4"/>
    <n v="6552"/>
    <x v="0"/>
  </r>
  <r>
    <s v="WD0144"/>
    <d v="2024-01-29T00:00:00"/>
    <x v="0"/>
    <x v="0"/>
    <x v="2"/>
    <x v="0"/>
    <s v="Cap"/>
    <n v="1"/>
    <n v="2740"/>
    <n v="10"/>
    <n v="2466"/>
    <x v="2"/>
    <n v="-274"/>
    <x v="0"/>
  </r>
  <r>
    <s v="WD0479"/>
    <d v="2024-01-29T00:00:00"/>
    <x v="0"/>
    <x v="0"/>
    <x v="0"/>
    <x v="2"/>
    <s v="Sherwani"/>
    <n v="1"/>
    <n v="3520"/>
    <n v="0"/>
    <n v="3520"/>
    <x v="11"/>
    <n v="0"/>
    <x v="0"/>
  </r>
  <r>
    <s v="WD0194"/>
    <d v="2024-01-29T00:00:00"/>
    <x v="0"/>
    <x v="0"/>
    <x v="0"/>
    <x v="2"/>
    <s v="Sherwani"/>
    <n v="7"/>
    <n v="2020"/>
    <n v="20"/>
    <n v="11312"/>
    <x v="11"/>
    <n v="9292"/>
    <x v="0"/>
  </r>
  <r>
    <s v="WD0946"/>
    <d v="2024-01-29T00:00:00"/>
    <x v="0"/>
    <x v="0"/>
    <x v="2"/>
    <x v="0"/>
    <s v="Leather Belt"/>
    <n v="6"/>
    <n v="1970"/>
    <n v="25"/>
    <n v="8865"/>
    <x v="9"/>
    <n v="6895"/>
    <x v="0"/>
  </r>
  <r>
    <s v="WD0352"/>
    <d v="2024-01-29T00:00:00"/>
    <x v="0"/>
    <x v="0"/>
    <x v="1"/>
    <x v="5"/>
    <s v="Striped Shirt"/>
    <n v="9"/>
    <n v="1320"/>
    <n v="15"/>
    <n v="10098"/>
    <x v="10"/>
    <n v="8778"/>
    <x v="0"/>
  </r>
  <r>
    <s v="WD0439"/>
    <d v="2024-01-29T00:00:00"/>
    <x v="0"/>
    <x v="0"/>
    <x v="2"/>
    <x v="5"/>
    <s v="Striped Shirt"/>
    <n v="10"/>
    <n v="820"/>
    <n v="20"/>
    <n v="6560"/>
    <x v="2"/>
    <n v="5740"/>
    <x v="0"/>
  </r>
  <r>
    <s v="WD0890"/>
    <d v="2024-01-30T00:00:00"/>
    <x v="0"/>
    <x v="0"/>
    <x v="3"/>
    <x v="3"/>
    <s v="Casual Sundress"/>
    <n v="10"/>
    <n v="1170"/>
    <n v="0"/>
    <n v="11700"/>
    <x v="3"/>
    <n v="10530"/>
    <x v="0"/>
  </r>
  <r>
    <s v="WD0037"/>
    <d v="2024-01-30T00:00:00"/>
    <x v="0"/>
    <x v="0"/>
    <x v="0"/>
    <x v="0"/>
    <s v="Handbag"/>
    <n v="5"/>
    <n v="720"/>
    <n v="5"/>
    <n v="3420"/>
    <x v="0"/>
    <n v="2700"/>
    <x v="0"/>
  </r>
  <r>
    <s v="WD0746"/>
    <d v="2024-01-30T00:00:00"/>
    <x v="0"/>
    <x v="0"/>
    <x v="1"/>
    <x v="3"/>
    <s v="Wrap Dress"/>
    <n v="13"/>
    <n v="5110"/>
    <n v="25"/>
    <n v="49822.5"/>
    <x v="10"/>
    <n v="44712.5"/>
    <x v="0"/>
  </r>
  <r>
    <s v="WD0316"/>
    <d v="2024-01-30T00:00:00"/>
    <x v="0"/>
    <x v="0"/>
    <x v="1"/>
    <x v="4"/>
    <s v="Leather Jacket"/>
    <n v="8"/>
    <n v="5590"/>
    <n v="20"/>
    <n v="35776"/>
    <x v="10"/>
    <n v="30186"/>
    <x v="0"/>
  </r>
  <r>
    <s v="WD0984"/>
    <d v="2024-01-30T00:00:00"/>
    <x v="0"/>
    <x v="0"/>
    <x v="1"/>
    <x v="3"/>
    <s v="Floral Maxi Dress"/>
    <n v="3"/>
    <n v="5230"/>
    <n v="20"/>
    <n v="12552"/>
    <x v="4"/>
    <n v="7322"/>
    <x v="0"/>
  </r>
  <r>
    <s v="WD0407"/>
    <d v="2024-01-31T00:00:00"/>
    <x v="0"/>
    <x v="0"/>
    <x v="0"/>
    <x v="1"/>
    <s v="Formal Black Trousers"/>
    <n v="14"/>
    <n v="2920"/>
    <n v="5"/>
    <n v="38836"/>
    <x v="0"/>
    <n v="35916"/>
    <x v="0"/>
  </r>
  <r>
    <s v="WD0027"/>
    <d v="2024-01-31T00:00:00"/>
    <x v="0"/>
    <x v="0"/>
    <x v="2"/>
    <x v="2"/>
    <s v="Saree"/>
    <n v="12"/>
    <n v="1580"/>
    <n v="25"/>
    <n v="14220"/>
    <x v="5"/>
    <n v="12640"/>
    <x v="0"/>
  </r>
  <r>
    <s v="WD0079"/>
    <d v="2024-02-01T00:00:00"/>
    <x v="1"/>
    <x v="0"/>
    <x v="1"/>
    <x v="4"/>
    <s v="Blazer"/>
    <n v="8"/>
    <n v="4320"/>
    <n v="15"/>
    <n v="29376"/>
    <x v="4"/>
    <n v="25056"/>
    <x v="0"/>
  </r>
  <r>
    <s v="WD0875"/>
    <d v="2024-02-01T00:00:00"/>
    <x v="1"/>
    <x v="0"/>
    <x v="1"/>
    <x v="0"/>
    <s v="Cap"/>
    <n v="10"/>
    <n v="2260"/>
    <n v="10"/>
    <n v="20340"/>
    <x v="10"/>
    <n v="18080"/>
    <x v="0"/>
  </r>
  <r>
    <s v="WD0894"/>
    <d v="2024-02-01T00:00:00"/>
    <x v="1"/>
    <x v="0"/>
    <x v="3"/>
    <x v="3"/>
    <s v="Casual Sundress"/>
    <n v="5"/>
    <n v="4900"/>
    <n v="30"/>
    <n v="17150"/>
    <x v="7"/>
    <n v="12250"/>
    <x v="0"/>
  </r>
  <r>
    <s v="WD0167"/>
    <d v="2024-02-01T00:00:00"/>
    <x v="1"/>
    <x v="0"/>
    <x v="3"/>
    <x v="5"/>
    <s v="Formal Blue Shirt"/>
    <n v="11"/>
    <n v="1630"/>
    <n v="10"/>
    <n v="16137"/>
    <x v="7"/>
    <n v="14507"/>
    <x v="0"/>
  </r>
  <r>
    <s v="WD0638"/>
    <d v="2024-02-02T00:00:00"/>
    <x v="1"/>
    <x v="0"/>
    <x v="0"/>
    <x v="3"/>
    <s v="Floral Maxi Dress"/>
    <n v="8"/>
    <n v="2090"/>
    <n v="5"/>
    <n v="15884"/>
    <x v="8"/>
    <n v="13794"/>
    <x v="0"/>
  </r>
  <r>
    <s v="WD0318"/>
    <d v="2024-02-02T00:00:00"/>
    <x v="1"/>
    <x v="0"/>
    <x v="2"/>
    <x v="2"/>
    <s v="Kurta Set"/>
    <n v="6"/>
    <n v="2020"/>
    <n v="25"/>
    <n v="9090"/>
    <x v="9"/>
    <n v="7070"/>
    <x v="0"/>
  </r>
  <r>
    <s v="WD0238"/>
    <d v="2024-02-02T00:00:00"/>
    <x v="1"/>
    <x v="0"/>
    <x v="0"/>
    <x v="0"/>
    <s v="Handbag"/>
    <n v="13"/>
    <n v="2000"/>
    <n v="5"/>
    <n v="24700"/>
    <x v="0"/>
    <n v="22700"/>
    <x v="0"/>
  </r>
  <r>
    <s v="WD0442"/>
    <d v="2024-02-02T00:00:00"/>
    <x v="1"/>
    <x v="0"/>
    <x v="1"/>
    <x v="5"/>
    <s v="Formal Blue Shirt"/>
    <n v="5"/>
    <n v="2130"/>
    <n v="20"/>
    <n v="8520"/>
    <x v="1"/>
    <n v="6390"/>
    <x v="0"/>
  </r>
  <r>
    <s v="WD0231"/>
    <d v="2024-02-02T00:00:00"/>
    <x v="1"/>
    <x v="0"/>
    <x v="1"/>
    <x v="1"/>
    <s v="Cargo Trousers"/>
    <n v="10"/>
    <n v="2520"/>
    <n v="15"/>
    <n v="21420"/>
    <x v="4"/>
    <n v="18900"/>
    <x v="0"/>
  </r>
  <r>
    <s v="WD0466"/>
    <d v="2024-02-03T00:00:00"/>
    <x v="1"/>
    <x v="0"/>
    <x v="1"/>
    <x v="2"/>
    <s v="Sherwani"/>
    <n v="2"/>
    <n v="12050"/>
    <n v="0"/>
    <n v="24100"/>
    <x v="4"/>
    <n v="12050"/>
    <x v="0"/>
  </r>
  <r>
    <s v="WD0109"/>
    <d v="2024-02-03T00:00:00"/>
    <x v="1"/>
    <x v="0"/>
    <x v="2"/>
    <x v="5"/>
    <s v="Formal Blue Shirt"/>
    <n v="8"/>
    <n v="2390"/>
    <n v="0"/>
    <n v="19120"/>
    <x v="2"/>
    <n v="16730"/>
    <x v="0"/>
  </r>
  <r>
    <s v="WD0816"/>
    <d v="2024-02-03T00:00:00"/>
    <x v="1"/>
    <x v="0"/>
    <x v="3"/>
    <x v="4"/>
    <s v="Denim Jacket"/>
    <n v="14"/>
    <n v="7310"/>
    <n v="20"/>
    <n v="81872"/>
    <x v="7"/>
    <n v="74562"/>
    <x v="0"/>
  </r>
  <r>
    <s v="WD0039"/>
    <d v="2024-02-04T00:00:00"/>
    <x v="1"/>
    <x v="0"/>
    <x v="2"/>
    <x v="5"/>
    <s v="Classic White Shirt"/>
    <n v="2"/>
    <n v="2220"/>
    <n v="20"/>
    <n v="3552"/>
    <x v="9"/>
    <n v="1332"/>
    <x v="0"/>
  </r>
  <r>
    <s v="WD0901"/>
    <d v="2024-02-05T00:00:00"/>
    <x v="1"/>
    <x v="0"/>
    <x v="0"/>
    <x v="4"/>
    <s v="Blazer"/>
    <n v="12"/>
    <n v="4830"/>
    <n v="30"/>
    <n v="40572"/>
    <x v="0"/>
    <n v="35742"/>
    <x v="0"/>
  </r>
  <r>
    <s v="WD0044"/>
    <d v="2024-02-05T00:00:00"/>
    <x v="1"/>
    <x v="0"/>
    <x v="1"/>
    <x v="5"/>
    <s v="Casual Polo"/>
    <n v="3"/>
    <n v="1560"/>
    <n v="10"/>
    <n v="4212"/>
    <x v="4"/>
    <n v="2652"/>
    <x v="0"/>
  </r>
  <r>
    <s v="WD0023"/>
    <d v="2024-02-05T00:00:00"/>
    <x v="1"/>
    <x v="0"/>
    <x v="1"/>
    <x v="1"/>
    <s v="Slim Fit Chinos"/>
    <n v="8"/>
    <n v="1030"/>
    <n v="30"/>
    <n v="5768"/>
    <x v="10"/>
    <n v="4738"/>
    <x v="0"/>
  </r>
  <r>
    <s v="WD0673"/>
    <d v="2024-02-05T00:00:00"/>
    <x v="1"/>
    <x v="0"/>
    <x v="0"/>
    <x v="4"/>
    <s v="Leather Jacket"/>
    <n v="12"/>
    <n v="5620"/>
    <n v="25"/>
    <n v="50580"/>
    <x v="11"/>
    <n v="44960"/>
    <x v="0"/>
  </r>
  <r>
    <s v="WD0058"/>
    <d v="2024-02-05T00:00:00"/>
    <x v="1"/>
    <x v="0"/>
    <x v="1"/>
    <x v="0"/>
    <s v="Silk Scarf"/>
    <n v="5"/>
    <n v="1370"/>
    <n v="30"/>
    <n v="4795"/>
    <x v="1"/>
    <n v="3425"/>
    <x v="0"/>
  </r>
  <r>
    <s v="WD0652"/>
    <d v="2024-02-05T00:00:00"/>
    <x v="1"/>
    <x v="0"/>
    <x v="3"/>
    <x v="1"/>
    <s v="Jogger Pants"/>
    <n v="10"/>
    <n v="3290"/>
    <n v="20"/>
    <n v="26320"/>
    <x v="6"/>
    <n v="23030"/>
    <x v="0"/>
  </r>
  <r>
    <s v="WD0744"/>
    <d v="2024-02-06T00:00:00"/>
    <x v="1"/>
    <x v="0"/>
    <x v="0"/>
    <x v="2"/>
    <s v="Sherwani"/>
    <n v="4"/>
    <n v="2060"/>
    <n v="20"/>
    <n v="6592"/>
    <x v="11"/>
    <n v="4532"/>
    <x v="0"/>
  </r>
  <r>
    <s v="WD0259"/>
    <d v="2024-02-07T00:00:00"/>
    <x v="1"/>
    <x v="0"/>
    <x v="0"/>
    <x v="4"/>
    <s v="Denim Jacket"/>
    <n v="6"/>
    <n v="2880"/>
    <n v="25"/>
    <n v="12960"/>
    <x v="8"/>
    <n v="10080"/>
    <x v="0"/>
  </r>
  <r>
    <s v="WD0930"/>
    <d v="2024-02-07T00:00:00"/>
    <x v="1"/>
    <x v="0"/>
    <x v="2"/>
    <x v="0"/>
    <s v="Handbag"/>
    <n v="7"/>
    <n v="2650"/>
    <n v="5"/>
    <n v="17622.5"/>
    <x v="2"/>
    <n v="14972.5"/>
    <x v="0"/>
  </r>
  <r>
    <s v="WD0070"/>
    <d v="2024-02-07T00:00:00"/>
    <x v="1"/>
    <x v="0"/>
    <x v="1"/>
    <x v="5"/>
    <s v="Casual Polo"/>
    <n v="10"/>
    <n v="2470"/>
    <n v="30"/>
    <n v="17290"/>
    <x v="1"/>
    <n v="14820"/>
    <x v="0"/>
  </r>
  <r>
    <s v="WD0458"/>
    <d v="2024-02-08T00:00:00"/>
    <x v="1"/>
    <x v="0"/>
    <x v="3"/>
    <x v="4"/>
    <s v="Bomber Jacket"/>
    <n v="5"/>
    <n v="4230"/>
    <n v="5"/>
    <n v="20092.5"/>
    <x v="6"/>
    <n v="15862.5"/>
    <x v="0"/>
  </r>
  <r>
    <s v="WD0681"/>
    <d v="2024-02-08T00:00:00"/>
    <x v="1"/>
    <x v="0"/>
    <x v="3"/>
    <x v="5"/>
    <s v="Striped Shirt"/>
    <n v="14"/>
    <n v="1880"/>
    <n v="10"/>
    <n v="23688"/>
    <x v="3"/>
    <n v="21808"/>
    <x v="0"/>
  </r>
  <r>
    <s v="WD0412"/>
    <d v="2024-02-08T00:00:00"/>
    <x v="1"/>
    <x v="0"/>
    <x v="0"/>
    <x v="1"/>
    <s v="Jogger Pants"/>
    <n v="7"/>
    <n v="2490"/>
    <n v="15"/>
    <n v="14815.5"/>
    <x v="0"/>
    <n v="12325.5"/>
    <x v="0"/>
  </r>
  <r>
    <s v="WD0217"/>
    <d v="2024-02-09T00:00:00"/>
    <x v="1"/>
    <x v="0"/>
    <x v="2"/>
    <x v="3"/>
    <s v="Wrap Dress"/>
    <n v="3"/>
    <n v="1960"/>
    <n v="5"/>
    <n v="5586"/>
    <x v="2"/>
    <n v="3626"/>
    <x v="0"/>
  </r>
  <r>
    <s v="WD0747"/>
    <d v="2024-02-09T00:00:00"/>
    <x v="1"/>
    <x v="0"/>
    <x v="3"/>
    <x v="2"/>
    <s v="Kurta Set"/>
    <n v="14"/>
    <n v="9940"/>
    <n v="10"/>
    <n v="125244"/>
    <x v="6"/>
    <n v="115304"/>
    <x v="0"/>
  </r>
  <r>
    <s v="WD0994"/>
    <d v="2024-02-10T00:00:00"/>
    <x v="1"/>
    <x v="0"/>
    <x v="2"/>
    <x v="0"/>
    <s v="Silk Scarf"/>
    <n v="4"/>
    <n v="1130"/>
    <n v="5"/>
    <n v="4294"/>
    <x v="2"/>
    <n v="3164"/>
    <x v="0"/>
  </r>
  <r>
    <s v="WD0358"/>
    <d v="2024-02-10T00:00:00"/>
    <x v="1"/>
    <x v="0"/>
    <x v="3"/>
    <x v="4"/>
    <s v="Leather Jacket"/>
    <n v="12"/>
    <n v="7530"/>
    <n v="25"/>
    <n v="67770"/>
    <x v="3"/>
    <n v="60240"/>
    <x v="0"/>
  </r>
  <r>
    <s v="WD0918"/>
    <d v="2024-02-11T00:00:00"/>
    <x v="1"/>
    <x v="0"/>
    <x v="2"/>
    <x v="5"/>
    <s v="Striped Shirt"/>
    <n v="1"/>
    <n v="2080"/>
    <n v="15"/>
    <n v="1768"/>
    <x v="5"/>
    <n v="-312"/>
    <x v="0"/>
  </r>
  <r>
    <s v="WD0351"/>
    <d v="2024-02-11T00:00:00"/>
    <x v="1"/>
    <x v="0"/>
    <x v="2"/>
    <x v="0"/>
    <s v="Silk Scarf"/>
    <n v="14"/>
    <n v="1110"/>
    <n v="30"/>
    <n v="10878"/>
    <x v="9"/>
    <n v="9768"/>
    <x v="0"/>
  </r>
  <r>
    <s v="WD0658"/>
    <d v="2024-02-12T00:00:00"/>
    <x v="1"/>
    <x v="0"/>
    <x v="1"/>
    <x v="4"/>
    <s v="Leather Jacket"/>
    <n v="13"/>
    <n v="3780"/>
    <n v="5"/>
    <n v="46683"/>
    <x v="1"/>
    <n v="42903"/>
    <x v="0"/>
  </r>
  <r>
    <s v="WD0362"/>
    <d v="2024-02-12T00:00:00"/>
    <x v="1"/>
    <x v="0"/>
    <x v="1"/>
    <x v="2"/>
    <s v="Sherwani"/>
    <n v="12"/>
    <n v="10680"/>
    <n v="0"/>
    <n v="128160"/>
    <x v="1"/>
    <n v="117480"/>
    <x v="0"/>
  </r>
  <r>
    <s v="WD0707"/>
    <d v="2024-02-12T00:00:00"/>
    <x v="1"/>
    <x v="0"/>
    <x v="0"/>
    <x v="2"/>
    <s v="Kurta Set"/>
    <n v="7"/>
    <n v="1800"/>
    <n v="20"/>
    <n v="10080"/>
    <x v="11"/>
    <n v="8280"/>
    <x v="0"/>
  </r>
  <r>
    <s v="WD0384"/>
    <d v="2024-02-13T00:00:00"/>
    <x v="1"/>
    <x v="0"/>
    <x v="2"/>
    <x v="3"/>
    <s v="Floral Maxi Dress"/>
    <n v="5"/>
    <n v="3410"/>
    <n v="15"/>
    <n v="14492.5"/>
    <x v="5"/>
    <n v="11082.5"/>
    <x v="0"/>
  </r>
  <r>
    <s v="WD0805"/>
    <d v="2024-02-13T00:00:00"/>
    <x v="1"/>
    <x v="0"/>
    <x v="1"/>
    <x v="5"/>
    <s v="Classic White Shirt"/>
    <n v="11"/>
    <n v="1940"/>
    <n v="10"/>
    <n v="19206"/>
    <x v="10"/>
    <n v="17266"/>
    <x v="0"/>
  </r>
  <r>
    <s v="WD0306"/>
    <d v="2024-02-14T00:00:00"/>
    <x v="1"/>
    <x v="0"/>
    <x v="2"/>
    <x v="1"/>
    <s v="Cargo Trousers"/>
    <n v="9"/>
    <n v="3030"/>
    <n v="10"/>
    <n v="24543"/>
    <x v="2"/>
    <n v="21513"/>
    <x v="0"/>
  </r>
  <r>
    <s v="WD0405"/>
    <d v="2024-02-14T00:00:00"/>
    <x v="1"/>
    <x v="0"/>
    <x v="3"/>
    <x v="5"/>
    <s v="Striped Shirt"/>
    <n v="14"/>
    <n v="1100"/>
    <n v="30"/>
    <n v="10780"/>
    <x v="7"/>
    <n v="9680"/>
    <x v="0"/>
  </r>
  <r>
    <s v="WD0837"/>
    <d v="2024-02-14T00:00:00"/>
    <x v="1"/>
    <x v="0"/>
    <x v="1"/>
    <x v="3"/>
    <s v="Floral Maxi Dress"/>
    <n v="10"/>
    <n v="4430"/>
    <n v="30"/>
    <n v="31010"/>
    <x v="1"/>
    <n v="26580"/>
    <x v="0"/>
  </r>
  <r>
    <s v="WD0300"/>
    <d v="2024-02-15T00:00:00"/>
    <x v="1"/>
    <x v="0"/>
    <x v="2"/>
    <x v="3"/>
    <s v="Evening Gown"/>
    <n v="1"/>
    <n v="2430"/>
    <n v="30"/>
    <n v="1701"/>
    <x v="9"/>
    <n v="-729"/>
    <x v="0"/>
  </r>
  <r>
    <s v="WD0768"/>
    <d v="2024-02-15T00:00:00"/>
    <x v="1"/>
    <x v="0"/>
    <x v="1"/>
    <x v="3"/>
    <s v="Wrap Dress"/>
    <n v="15"/>
    <n v="2620"/>
    <n v="20"/>
    <n v="31440"/>
    <x v="4"/>
    <n v="28820"/>
    <x v="0"/>
  </r>
  <r>
    <s v="WD0666"/>
    <d v="2024-02-16T00:00:00"/>
    <x v="1"/>
    <x v="0"/>
    <x v="1"/>
    <x v="1"/>
    <s v="Cargo Trousers"/>
    <n v="1"/>
    <n v="3400"/>
    <n v="30"/>
    <n v="2380"/>
    <x v="4"/>
    <n v="-1020"/>
    <x v="0"/>
  </r>
  <r>
    <s v="WD0182"/>
    <d v="2024-02-16T00:00:00"/>
    <x v="1"/>
    <x v="0"/>
    <x v="3"/>
    <x v="3"/>
    <s v="Casual Sundress"/>
    <n v="8"/>
    <n v="4430"/>
    <n v="0"/>
    <n v="35440"/>
    <x v="6"/>
    <n v="31010"/>
    <x v="0"/>
  </r>
  <r>
    <s v="WD0903"/>
    <d v="2024-02-16T00:00:00"/>
    <x v="1"/>
    <x v="0"/>
    <x v="3"/>
    <x v="3"/>
    <s v="Evening Gown"/>
    <n v="11"/>
    <n v="3000"/>
    <n v="25"/>
    <n v="24750"/>
    <x v="7"/>
    <n v="21750"/>
    <x v="0"/>
  </r>
  <r>
    <s v="WD0207"/>
    <d v="2024-02-16T00:00:00"/>
    <x v="1"/>
    <x v="0"/>
    <x v="1"/>
    <x v="5"/>
    <s v="Formal Blue Shirt"/>
    <n v="2"/>
    <n v="2180"/>
    <n v="25"/>
    <n v="3270"/>
    <x v="10"/>
    <n v="1090"/>
    <x v="0"/>
  </r>
  <r>
    <s v="WD0168"/>
    <d v="2024-02-16T00:00:00"/>
    <x v="1"/>
    <x v="0"/>
    <x v="3"/>
    <x v="1"/>
    <s v="Slim Fit Chinos"/>
    <n v="14"/>
    <n v="3360"/>
    <n v="15"/>
    <n v="39984"/>
    <x v="3"/>
    <n v="36624"/>
    <x v="0"/>
  </r>
  <r>
    <s v="WD0941"/>
    <d v="2024-02-16T00:00:00"/>
    <x v="1"/>
    <x v="0"/>
    <x v="0"/>
    <x v="1"/>
    <s v="Formal Black Trousers"/>
    <n v="4"/>
    <n v="1770"/>
    <n v="25"/>
    <n v="5310"/>
    <x v="11"/>
    <n v="3540"/>
    <x v="0"/>
  </r>
  <r>
    <s v="WD0414"/>
    <d v="2024-02-17T00:00:00"/>
    <x v="1"/>
    <x v="0"/>
    <x v="3"/>
    <x v="2"/>
    <s v="Kurta Set"/>
    <n v="14"/>
    <n v="11490"/>
    <n v="25"/>
    <n v="120645"/>
    <x v="3"/>
    <n v="109155"/>
    <x v="0"/>
  </r>
  <r>
    <s v="WD0409"/>
    <d v="2024-02-18T00:00:00"/>
    <x v="1"/>
    <x v="0"/>
    <x v="3"/>
    <x v="2"/>
    <s v="Sherwani"/>
    <n v="9"/>
    <n v="12450"/>
    <n v="25"/>
    <n v="84037.5"/>
    <x v="6"/>
    <n v="71587.5"/>
    <x v="0"/>
  </r>
  <r>
    <s v="WD0706"/>
    <d v="2024-02-18T00:00:00"/>
    <x v="1"/>
    <x v="0"/>
    <x v="3"/>
    <x v="0"/>
    <s v="Leather Belt"/>
    <n v="7"/>
    <n v="870"/>
    <n v="0"/>
    <n v="6090"/>
    <x v="6"/>
    <n v="5220"/>
    <x v="0"/>
  </r>
  <r>
    <s v="WD0271"/>
    <d v="2024-02-19T00:00:00"/>
    <x v="1"/>
    <x v="0"/>
    <x v="2"/>
    <x v="4"/>
    <s v="Denim Jacket"/>
    <n v="4"/>
    <n v="3870"/>
    <n v="5"/>
    <n v="14706"/>
    <x v="5"/>
    <n v="10836"/>
    <x v="0"/>
  </r>
  <r>
    <s v="WD0179"/>
    <d v="2024-02-20T00:00:00"/>
    <x v="1"/>
    <x v="0"/>
    <x v="0"/>
    <x v="2"/>
    <s v="Sherwani"/>
    <n v="10"/>
    <n v="6720"/>
    <n v="15"/>
    <n v="57120"/>
    <x v="0"/>
    <n v="50400"/>
    <x v="0"/>
  </r>
  <r>
    <s v="WD0886"/>
    <d v="2024-02-20T00:00:00"/>
    <x v="1"/>
    <x v="0"/>
    <x v="3"/>
    <x v="4"/>
    <s v="Bomber Jacket"/>
    <n v="5"/>
    <n v="4340"/>
    <n v="30"/>
    <n v="15190"/>
    <x v="7"/>
    <n v="10850"/>
    <x v="0"/>
  </r>
  <r>
    <s v="WD0835"/>
    <d v="2024-02-20T00:00:00"/>
    <x v="1"/>
    <x v="0"/>
    <x v="3"/>
    <x v="4"/>
    <s v="Bomber Jacket"/>
    <n v="3"/>
    <n v="7430"/>
    <n v="30"/>
    <n v="15603"/>
    <x v="3"/>
    <n v="8173"/>
    <x v="0"/>
  </r>
  <r>
    <s v="WD0561"/>
    <d v="2024-02-21T00:00:00"/>
    <x v="1"/>
    <x v="0"/>
    <x v="0"/>
    <x v="1"/>
    <s v="Slim Fit Chinos"/>
    <n v="2"/>
    <n v="2900"/>
    <n v="25"/>
    <n v="4350"/>
    <x v="8"/>
    <n v="1450"/>
    <x v="0"/>
  </r>
  <r>
    <s v="WD0143"/>
    <d v="2024-02-21T00:00:00"/>
    <x v="1"/>
    <x v="0"/>
    <x v="1"/>
    <x v="4"/>
    <s v="Denim Jacket"/>
    <n v="12"/>
    <n v="7320"/>
    <n v="30"/>
    <n v="61488"/>
    <x v="1"/>
    <n v="54168"/>
    <x v="0"/>
  </r>
  <r>
    <s v="WD0138"/>
    <d v="2024-02-21T00:00:00"/>
    <x v="1"/>
    <x v="0"/>
    <x v="2"/>
    <x v="4"/>
    <s v="Denim Jacket"/>
    <n v="10"/>
    <n v="2880"/>
    <n v="10"/>
    <n v="25920"/>
    <x v="2"/>
    <n v="23040"/>
    <x v="0"/>
  </r>
  <r>
    <s v="WD0475"/>
    <d v="2024-02-21T00:00:00"/>
    <x v="1"/>
    <x v="0"/>
    <x v="0"/>
    <x v="2"/>
    <s v="Sherwani"/>
    <n v="4"/>
    <n v="10320"/>
    <n v="5"/>
    <n v="39216"/>
    <x v="11"/>
    <n v="28896"/>
    <x v="0"/>
  </r>
  <r>
    <s v="WD0640"/>
    <d v="2024-02-22T00:00:00"/>
    <x v="1"/>
    <x v="0"/>
    <x v="0"/>
    <x v="4"/>
    <s v="Denim Jacket"/>
    <n v="11"/>
    <n v="2280"/>
    <n v="10"/>
    <n v="22572"/>
    <x v="0"/>
    <n v="20292"/>
    <x v="0"/>
  </r>
  <r>
    <s v="WD0209"/>
    <d v="2024-02-22T00:00:00"/>
    <x v="1"/>
    <x v="0"/>
    <x v="3"/>
    <x v="2"/>
    <s v="Lehenga"/>
    <n v="1"/>
    <n v="7260"/>
    <n v="15"/>
    <n v="6171"/>
    <x v="7"/>
    <n v="-1089"/>
    <x v="0"/>
  </r>
  <r>
    <s v="WD0365"/>
    <d v="2024-02-22T00:00:00"/>
    <x v="1"/>
    <x v="0"/>
    <x v="2"/>
    <x v="4"/>
    <s v="Blazer"/>
    <n v="9"/>
    <n v="5900"/>
    <n v="15"/>
    <n v="45135"/>
    <x v="5"/>
    <n v="39235"/>
    <x v="0"/>
  </r>
  <r>
    <s v="WD0001"/>
    <d v="2024-02-22T00:00:00"/>
    <x v="1"/>
    <x v="0"/>
    <x v="1"/>
    <x v="5"/>
    <s v="Formal Blue Shirt"/>
    <n v="3"/>
    <n v="1060"/>
    <n v="25"/>
    <n v="2385"/>
    <x v="10"/>
    <n v="1325"/>
    <x v="0"/>
  </r>
  <r>
    <s v="WD0424"/>
    <d v="2024-02-22T00:00:00"/>
    <x v="1"/>
    <x v="0"/>
    <x v="2"/>
    <x v="4"/>
    <s v="Denim Jacket"/>
    <n v="2"/>
    <n v="3600"/>
    <n v="25"/>
    <n v="5400"/>
    <x v="5"/>
    <n v="1800"/>
    <x v="0"/>
  </r>
  <r>
    <s v="WD0005"/>
    <d v="2024-02-22T00:00:00"/>
    <x v="1"/>
    <x v="0"/>
    <x v="0"/>
    <x v="3"/>
    <s v="Evening Gown"/>
    <n v="13"/>
    <n v="1780"/>
    <n v="10"/>
    <n v="20826"/>
    <x v="11"/>
    <n v="19046"/>
    <x v="0"/>
  </r>
  <r>
    <s v="WD0567"/>
    <d v="2024-02-23T00:00:00"/>
    <x v="1"/>
    <x v="0"/>
    <x v="2"/>
    <x v="0"/>
    <s v="Leather Belt"/>
    <n v="14"/>
    <n v="2950"/>
    <n v="5"/>
    <n v="39235"/>
    <x v="2"/>
    <n v="36285"/>
    <x v="0"/>
  </r>
  <r>
    <s v="WD0072"/>
    <d v="2024-02-24T00:00:00"/>
    <x v="1"/>
    <x v="0"/>
    <x v="2"/>
    <x v="0"/>
    <s v="Leather Belt"/>
    <n v="14"/>
    <n v="2710"/>
    <n v="30"/>
    <n v="26558"/>
    <x v="2"/>
    <n v="23848"/>
    <x v="0"/>
  </r>
  <r>
    <s v="WD0913"/>
    <d v="2024-02-24T00:00:00"/>
    <x v="1"/>
    <x v="0"/>
    <x v="0"/>
    <x v="2"/>
    <s v="Saree"/>
    <n v="2"/>
    <n v="11110"/>
    <n v="30"/>
    <n v="15554"/>
    <x v="11"/>
    <n v="4444"/>
    <x v="0"/>
  </r>
  <r>
    <s v="WD0749"/>
    <d v="2024-02-24T00:00:00"/>
    <x v="1"/>
    <x v="0"/>
    <x v="2"/>
    <x v="2"/>
    <s v="Saree"/>
    <n v="9"/>
    <n v="7920"/>
    <n v="15"/>
    <n v="60588"/>
    <x v="9"/>
    <n v="52668"/>
    <x v="0"/>
  </r>
  <r>
    <s v="WD0270"/>
    <d v="2024-02-24T00:00:00"/>
    <x v="1"/>
    <x v="0"/>
    <x v="3"/>
    <x v="4"/>
    <s v="Leather Jacket"/>
    <n v="9"/>
    <n v="7320"/>
    <n v="20"/>
    <n v="52704"/>
    <x v="7"/>
    <n v="45384"/>
    <x v="0"/>
  </r>
  <r>
    <s v="WD0850"/>
    <d v="2024-02-24T00:00:00"/>
    <x v="1"/>
    <x v="0"/>
    <x v="3"/>
    <x v="3"/>
    <s v="Casual Sundress"/>
    <n v="7"/>
    <n v="3540"/>
    <n v="30"/>
    <n v="17346"/>
    <x v="7"/>
    <n v="13806"/>
    <x v="0"/>
  </r>
  <r>
    <s v="WD0363"/>
    <d v="2024-02-24T00:00:00"/>
    <x v="1"/>
    <x v="0"/>
    <x v="2"/>
    <x v="4"/>
    <s v="Leather Jacket"/>
    <n v="6"/>
    <n v="7180"/>
    <n v="10"/>
    <n v="38772"/>
    <x v="5"/>
    <n v="31592"/>
    <x v="0"/>
  </r>
  <r>
    <s v="WD0684"/>
    <d v="2024-02-24T00:00:00"/>
    <x v="1"/>
    <x v="0"/>
    <x v="2"/>
    <x v="1"/>
    <s v="Formal Black Trousers"/>
    <n v="6"/>
    <n v="3060"/>
    <n v="5"/>
    <n v="17442"/>
    <x v="5"/>
    <n v="14382"/>
    <x v="0"/>
  </r>
  <r>
    <s v="WD0843"/>
    <d v="2024-02-24T00:00:00"/>
    <x v="1"/>
    <x v="0"/>
    <x v="1"/>
    <x v="1"/>
    <s v="Slim Fit Chinos"/>
    <n v="11"/>
    <n v="2070"/>
    <n v="0"/>
    <n v="22770"/>
    <x v="1"/>
    <n v="20700"/>
    <x v="0"/>
  </r>
  <r>
    <s v="WD0387"/>
    <d v="2024-02-25T00:00:00"/>
    <x v="1"/>
    <x v="0"/>
    <x v="3"/>
    <x v="5"/>
    <s v="Classic White Shirt"/>
    <n v="6"/>
    <n v="640"/>
    <n v="25"/>
    <n v="2880"/>
    <x v="3"/>
    <n v="2240"/>
    <x v="0"/>
  </r>
  <r>
    <s v="WD0032"/>
    <d v="2024-02-25T00:00:00"/>
    <x v="1"/>
    <x v="0"/>
    <x v="1"/>
    <x v="5"/>
    <s v="Striped Shirt"/>
    <n v="13"/>
    <n v="1980"/>
    <n v="30"/>
    <n v="18018"/>
    <x v="4"/>
    <n v="16038"/>
    <x v="0"/>
  </r>
  <r>
    <s v="WD0553"/>
    <d v="2024-02-25T00:00:00"/>
    <x v="1"/>
    <x v="0"/>
    <x v="3"/>
    <x v="2"/>
    <s v="Kurta Set"/>
    <n v="1"/>
    <n v="8330"/>
    <n v="25"/>
    <n v="6247.5"/>
    <x v="3"/>
    <n v="-2082.5"/>
    <x v="0"/>
  </r>
  <r>
    <s v="WD0813"/>
    <d v="2024-02-25T00:00:00"/>
    <x v="1"/>
    <x v="0"/>
    <x v="1"/>
    <x v="0"/>
    <s v="Cap"/>
    <n v="2"/>
    <n v="1190"/>
    <n v="0"/>
    <n v="2380"/>
    <x v="1"/>
    <n v="1190"/>
    <x v="0"/>
  </r>
  <r>
    <s v="WD0060"/>
    <d v="2024-02-25T00:00:00"/>
    <x v="1"/>
    <x v="0"/>
    <x v="1"/>
    <x v="3"/>
    <s v="Casual Sundress"/>
    <n v="5"/>
    <n v="3900"/>
    <n v="0"/>
    <n v="19500"/>
    <x v="10"/>
    <n v="15600"/>
    <x v="0"/>
  </r>
  <r>
    <s v="WD0560"/>
    <d v="2024-02-26T00:00:00"/>
    <x v="1"/>
    <x v="0"/>
    <x v="0"/>
    <x v="3"/>
    <s v="Casual Sundress"/>
    <n v="11"/>
    <n v="1010"/>
    <n v="0"/>
    <n v="11110"/>
    <x v="0"/>
    <n v="10100"/>
    <x v="0"/>
  </r>
  <r>
    <s v="WD0878"/>
    <d v="2024-02-27T00:00:00"/>
    <x v="1"/>
    <x v="0"/>
    <x v="2"/>
    <x v="2"/>
    <s v="Sherwani"/>
    <n v="5"/>
    <n v="4660"/>
    <n v="0"/>
    <n v="23300"/>
    <x v="9"/>
    <n v="18640"/>
    <x v="0"/>
  </r>
  <r>
    <s v="WD0130"/>
    <d v="2024-02-28T00:00:00"/>
    <x v="1"/>
    <x v="0"/>
    <x v="2"/>
    <x v="3"/>
    <s v="Floral Maxi Dress"/>
    <n v="2"/>
    <n v="3760"/>
    <n v="5"/>
    <n v="7144"/>
    <x v="2"/>
    <n v="3384"/>
    <x v="0"/>
  </r>
  <r>
    <s v="WD0088"/>
    <d v="2024-02-28T00:00:00"/>
    <x v="1"/>
    <x v="0"/>
    <x v="2"/>
    <x v="5"/>
    <s v="Casual Polo"/>
    <n v="8"/>
    <n v="1050"/>
    <n v="25"/>
    <n v="6300"/>
    <x v="9"/>
    <n v="5250"/>
    <x v="0"/>
  </r>
  <r>
    <s v="WD0186"/>
    <d v="2024-02-28T00:00:00"/>
    <x v="1"/>
    <x v="0"/>
    <x v="0"/>
    <x v="1"/>
    <s v="Slim Fit Chinos"/>
    <n v="9"/>
    <n v="1740"/>
    <n v="10"/>
    <n v="14094"/>
    <x v="8"/>
    <n v="12354"/>
    <x v="0"/>
  </r>
  <r>
    <s v="WD0392"/>
    <d v="2024-02-28T00:00:00"/>
    <x v="1"/>
    <x v="0"/>
    <x v="1"/>
    <x v="2"/>
    <s v="Saree"/>
    <n v="4"/>
    <n v="5710"/>
    <n v="15"/>
    <n v="19414"/>
    <x v="1"/>
    <n v="13704"/>
    <x v="0"/>
  </r>
  <r>
    <s v="WD0840"/>
    <d v="2024-02-28T00:00:00"/>
    <x v="1"/>
    <x v="0"/>
    <x v="3"/>
    <x v="4"/>
    <s v="Denim Jacket"/>
    <n v="3"/>
    <n v="3910"/>
    <n v="10"/>
    <n v="10557"/>
    <x v="6"/>
    <n v="6647"/>
    <x v="0"/>
  </r>
  <r>
    <s v="WD0395"/>
    <d v="2024-02-29T00:00:00"/>
    <x v="1"/>
    <x v="0"/>
    <x v="1"/>
    <x v="0"/>
    <s v="Silk Scarf"/>
    <n v="4"/>
    <n v="1140"/>
    <n v="10"/>
    <n v="4104"/>
    <x v="4"/>
    <n v="2964"/>
    <x v="0"/>
  </r>
  <r>
    <s v="WD0788"/>
    <d v="2024-03-01T00:00:00"/>
    <x v="2"/>
    <x v="0"/>
    <x v="2"/>
    <x v="0"/>
    <s v="Silk Scarf"/>
    <n v="9"/>
    <n v="1160"/>
    <n v="20"/>
    <n v="8352"/>
    <x v="5"/>
    <n v="7192"/>
    <x v="0"/>
  </r>
  <r>
    <s v="WD0645"/>
    <d v="2024-03-01T00:00:00"/>
    <x v="2"/>
    <x v="0"/>
    <x v="2"/>
    <x v="1"/>
    <s v="Formal Black Trousers"/>
    <n v="12"/>
    <n v="1780"/>
    <n v="30"/>
    <n v="14952"/>
    <x v="9"/>
    <n v="13172"/>
    <x v="0"/>
  </r>
  <r>
    <s v="WD0252"/>
    <d v="2024-03-01T00:00:00"/>
    <x v="2"/>
    <x v="0"/>
    <x v="1"/>
    <x v="0"/>
    <s v="Silk Scarf"/>
    <n v="7"/>
    <n v="1650"/>
    <n v="20"/>
    <n v="9240"/>
    <x v="1"/>
    <n v="7590"/>
    <x v="0"/>
  </r>
  <r>
    <s v="WD0539"/>
    <d v="2024-03-01T00:00:00"/>
    <x v="2"/>
    <x v="0"/>
    <x v="3"/>
    <x v="3"/>
    <s v="Evening Gown"/>
    <n v="8"/>
    <n v="3930"/>
    <n v="30"/>
    <n v="22008"/>
    <x v="7"/>
    <n v="18078"/>
    <x v="0"/>
  </r>
  <r>
    <s v="WD0309"/>
    <d v="2024-03-01T00:00:00"/>
    <x v="2"/>
    <x v="0"/>
    <x v="1"/>
    <x v="3"/>
    <s v="Evening Gown"/>
    <n v="1"/>
    <n v="4460"/>
    <n v="25"/>
    <n v="3345"/>
    <x v="1"/>
    <n v="-1115"/>
    <x v="0"/>
  </r>
  <r>
    <s v="WD0761"/>
    <d v="2024-03-02T00:00:00"/>
    <x v="2"/>
    <x v="0"/>
    <x v="1"/>
    <x v="3"/>
    <s v="Evening Gown"/>
    <n v="7"/>
    <n v="5400"/>
    <n v="15"/>
    <n v="32130"/>
    <x v="4"/>
    <n v="26730"/>
    <x v="0"/>
  </r>
  <r>
    <s v="WD0092"/>
    <d v="2024-03-02T00:00:00"/>
    <x v="2"/>
    <x v="0"/>
    <x v="1"/>
    <x v="0"/>
    <s v="Cap"/>
    <n v="10"/>
    <n v="2590"/>
    <n v="30"/>
    <n v="18130"/>
    <x v="10"/>
    <n v="15540"/>
    <x v="0"/>
  </r>
  <r>
    <s v="WD0540"/>
    <d v="2024-03-02T00:00:00"/>
    <x v="2"/>
    <x v="0"/>
    <x v="1"/>
    <x v="0"/>
    <s v="Leather Belt"/>
    <n v="4"/>
    <n v="1570"/>
    <n v="20"/>
    <n v="5024"/>
    <x v="10"/>
    <n v="3454"/>
    <x v="0"/>
  </r>
  <r>
    <s v="WD0423"/>
    <d v="2024-03-02T00:00:00"/>
    <x v="2"/>
    <x v="0"/>
    <x v="2"/>
    <x v="2"/>
    <s v="Lehenga"/>
    <n v="12"/>
    <n v="1610"/>
    <n v="10"/>
    <n v="17388"/>
    <x v="2"/>
    <n v="15778"/>
    <x v="0"/>
  </r>
  <r>
    <s v="WD0256"/>
    <d v="2024-03-03T00:00:00"/>
    <x v="2"/>
    <x v="0"/>
    <x v="2"/>
    <x v="0"/>
    <s v="Silk Scarf"/>
    <n v="9"/>
    <n v="2440"/>
    <n v="5"/>
    <n v="20862"/>
    <x v="5"/>
    <n v="18422"/>
    <x v="0"/>
  </r>
  <r>
    <s v="WD0464"/>
    <d v="2024-03-03T00:00:00"/>
    <x v="2"/>
    <x v="0"/>
    <x v="2"/>
    <x v="5"/>
    <s v="Striped Shirt"/>
    <n v="13"/>
    <n v="790"/>
    <n v="5"/>
    <n v="9756.5"/>
    <x v="5"/>
    <n v="8966.5"/>
    <x v="0"/>
  </r>
  <r>
    <s v="WD0073"/>
    <d v="2024-03-03T00:00:00"/>
    <x v="2"/>
    <x v="0"/>
    <x v="2"/>
    <x v="1"/>
    <s v="Cargo Trousers"/>
    <n v="4"/>
    <n v="930"/>
    <n v="30"/>
    <n v="2604"/>
    <x v="2"/>
    <n v="1674"/>
    <x v="0"/>
  </r>
  <r>
    <s v="WD0261"/>
    <d v="2024-03-04T00:00:00"/>
    <x v="2"/>
    <x v="0"/>
    <x v="2"/>
    <x v="1"/>
    <s v="Cargo Trousers"/>
    <n v="14"/>
    <n v="2160"/>
    <n v="0"/>
    <n v="30240"/>
    <x v="9"/>
    <n v="28080"/>
    <x v="0"/>
  </r>
  <r>
    <s v="WD0224"/>
    <d v="2024-03-04T00:00:00"/>
    <x v="2"/>
    <x v="0"/>
    <x v="0"/>
    <x v="3"/>
    <s v="Floral Maxi Dress"/>
    <n v="9"/>
    <n v="4560"/>
    <n v="30"/>
    <n v="28728"/>
    <x v="8"/>
    <n v="24168"/>
    <x v="0"/>
  </r>
  <r>
    <s v="WD0169"/>
    <d v="2024-03-05T00:00:00"/>
    <x v="2"/>
    <x v="0"/>
    <x v="2"/>
    <x v="0"/>
    <s v="Leather Belt"/>
    <n v="6"/>
    <n v="440"/>
    <n v="5"/>
    <n v="2508"/>
    <x v="9"/>
    <n v="2068"/>
    <x v="0"/>
  </r>
  <r>
    <s v="WD0263"/>
    <d v="2024-03-05T00:00:00"/>
    <x v="2"/>
    <x v="0"/>
    <x v="3"/>
    <x v="5"/>
    <s v="Formal Blue Shirt"/>
    <n v="9"/>
    <n v="970"/>
    <n v="10"/>
    <n v="7857"/>
    <x v="3"/>
    <n v="6887"/>
    <x v="0"/>
  </r>
  <r>
    <s v="WD0687"/>
    <d v="2024-03-06T00:00:00"/>
    <x v="2"/>
    <x v="0"/>
    <x v="2"/>
    <x v="2"/>
    <s v="Sherwani"/>
    <n v="13"/>
    <n v="6070"/>
    <n v="20"/>
    <n v="63128"/>
    <x v="5"/>
    <n v="57058"/>
    <x v="0"/>
  </r>
  <r>
    <s v="WD0183"/>
    <d v="2024-03-07T00:00:00"/>
    <x v="2"/>
    <x v="0"/>
    <x v="1"/>
    <x v="4"/>
    <s v="Denim Jacket"/>
    <n v="6"/>
    <n v="7210"/>
    <n v="30"/>
    <n v="30282"/>
    <x v="10"/>
    <n v="23072"/>
    <x v="0"/>
  </r>
  <r>
    <s v="WD0364"/>
    <d v="2024-03-08T00:00:00"/>
    <x v="2"/>
    <x v="0"/>
    <x v="1"/>
    <x v="3"/>
    <s v="Wrap Dress"/>
    <n v="5"/>
    <n v="2800"/>
    <n v="0"/>
    <n v="14000"/>
    <x v="4"/>
    <n v="11200"/>
    <x v="0"/>
  </r>
  <r>
    <s v="WD0790"/>
    <d v="2024-03-08T00:00:00"/>
    <x v="2"/>
    <x v="0"/>
    <x v="0"/>
    <x v="0"/>
    <s v="Cap"/>
    <n v="4"/>
    <n v="710"/>
    <n v="0"/>
    <n v="2840"/>
    <x v="11"/>
    <n v="2130"/>
    <x v="0"/>
  </r>
  <r>
    <s v="WD0808"/>
    <d v="2024-03-08T00:00:00"/>
    <x v="2"/>
    <x v="0"/>
    <x v="3"/>
    <x v="0"/>
    <s v="Handbag"/>
    <n v="3"/>
    <n v="1080"/>
    <n v="0"/>
    <n v="3240"/>
    <x v="6"/>
    <n v="2160"/>
    <x v="0"/>
  </r>
  <r>
    <s v="WD0764"/>
    <d v="2024-03-08T00:00:00"/>
    <x v="2"/>
    <x v="0"/>
    <x v="1"/>
    <x v="1"/>
    <s v="Cargo Trousers"/>
    <n v="7"/>
    <n v="1580"/>
    <n v="5"/>
    <n v="10507"/>
    <x v="1"/>
    <n v="8927"/>
    <x v="0"/>
  </r>
  <r>
    <s v="WD0422"/>
    <d v="2024-03-08T00:00:00"/>
    <x v="2"/>
    <x v="0"/>
    <x v="1"/>
    <x v="0"/>
    <s v="Leather Belt"/>
    <n v="8"/>
    <n v="300"/>
    <n v="0"/>
    <n v="2400"/>
    <x v="10"/>
    <n v="2100"/>
    <x v="0"/>
  </r>
  <r>
    <s v="WD0410"/>
    <d v="2024-03-08T00:00:00"/>
    <x v="2"/>
    <x v="0"/>
    <x v="0"/>
    <x v="5"/>
    <s v="Formal Blue Shirt"/>
    <n v="3"/>
    <n v="2250"/>
    <n v="25"/>
    <n v="5062.5"/>
    <x v="11"/>
    <n v="2812.5"/>
    <x v="0"/>
  </r>
  <r>
    <s v="WD0991"/>
    <d v="2024-03-08T00:00:00"/>
    <x v="2"/>
    <x v="0"/>
    <x v="1"/>
    <x v="4"/>
    <s v="Blazer"/>
    <n v="2"/>
    <n v="8410"/>
    <n v="30"/>
    <n v="11774"/>
    <x v="4"/>
    <n v="3364"/>
    <x v="0"/>
  </r>
  <r>
    <s v="WD0735"/>
    <d v="2024-03-09T00:00:00"/>
    <x v="2"/>
    <x v="0"/>
    <x v="0"/>
    <x v="0"/>
    <s v="Silk Scarf"/>
    <n v="7"/>
    <n v="360"/>
    <n v="10"/>
    <n v="2268"/>
    <x v="8"/>
    <n v="1908"/>
    <x v="0"/>
  </r>
  <r>
    <s v="WD0332"/>
    <d v="2024-03-09T00:00:00"/>
    <x v="2"/>
    <x v="0"/>
    <x v="0"/>
    <x v="5"/>
    <s v="Striped Shirt"/>
    <n v="9"/>
    <n v="2440"/>
    <n v="20"/>
    <n v="17568"/>
    <x v="8"/>
    <n v="15128"/>
    <x v="0"/>
  </r>
  <r>
    <s v="WD0425"/>
    <d v="2024-03-09T00:00:00"/>
    <x v="2"/>
    <x v="0"/>
    <x v="3"/>
    <x v="3"/>
    <s v="Evening Gown"/>
    <n v="13"/>
    <n v="1680"/>
    <n v="30"/>
    <n v="15288"/>
    <x v="3"/>
    <n v="13608"/>
    <x v="0"/>
  </r>
  <r>
    <s v="WD0864"/>
    <d v="2024-03-09T00:00:00"/>
    <x v="2"/>
    <x v="0"/>
    <x v="0"/>
    <x v="1"/>
    <s v="Jogger Pants"/>
    <n v="11"/>
    <n v="3490"/>
    <n v="5"/>
    <n v="36470.5"/>
    <x v="11"/>
    <n v="32980.5"/>
    <x v="0"/>
  </r>
  <r>
    <s v="WD0311"/>
    <d v="2024-03-09T00:00:00"/>
    <x v="2"/>
    <x v="0"/>
    <x v="1"/>
    <x v="0"/>
    <s v="Cap"/>
    <n v="4"/>
    <n v="1290"/>
    <n v="5"/>
    <n v="4902"/>
    <x v="1"/>
    <n v="3612"/>
    <x v="0"/>
  </r>
  <r>
    <s v="WD0319"/>
    <d v="2024-03-10T00:00:00"/>
    <x v="2"/>
    <x v="0"/>
    <x v="1"/>
    <x v="5"/>
    <s v="Striped Shirt"/>
    <n v="7"/>
    <n v="660"/>
    <n v="5"/>
    <n v="4389"/>
    <x v="10"/>
    <n v="3729"/>
    <x v="0"/>
  </r>
  <r>
    <s v="WD0787"/>
    <d v="2024-03-10T00:00:00"/>
    <x v="2"/>
    <x v="0"/>
    <x v="2"/>
    <x v="1"/>
    <s v="Jogger Pants"/>
    <n v="15"/>
    <n v="2660"/>
    <n v="20"/>
    <n v="31920"/>
    <x v="2"/>
    <n v="29260"/>
    <x v="0"/>
  </r>
  <r>
    <s v="WD0714"/>
    <d v="2024-03-10T00:00:00"/>
    <x v="2"/>
    <x v="0"/>
    <x v="3"/>
    <x v="1"/>
    <s v="Jogger Pants"/>
    <n v="9"/>
    <n v="830"/>
    <n v="30"/>
    <n v="5229"/>
    <x v="7"/>
    <n v="4399"/>
    <x v="0"/>
  </r>
  <r>
    <s v="WD0471"/>
    <d v="2024-03-11T00:00:00"/>
    <x v="2"/>
    <x v="0"/>
    <x v="0"/>
    <x v="4"/>
    <s v="Blazer"/>
    <n v="5"/>
    <n v="2430"/>
    <n v="15"/>
    <n v="10327.5"/>
    <x v="8"/>
    <n v="7897.5"/>
    <x v="0"/>
  </r>
  <r>
    <s v="WD0915"/>
    <d v="2024-03-11T00:00:00"/>
    <x v="2"/>
    <x v="0"/>
    <x v="0"/>
    <x v="3"/>
    <s v="Floral Maxi Dress"/>
    <n v="10"/>
    <n v="5880"/>
    <n v="20"/>
    <n v="47040"/>
    <x v="8"/>
    <n v="41160"/>
    <x v="0"/>
  </r>
  <r>
    <s v="WD0948"/>
    <d v="2024-03-11T00:00:00"/>
    <x v="2"/>
    <x v="0"/>
    <x v="3"/>
    <x v="1"/>
    <s v="Slim Fit Chinos"/>
    <n v="13"/>
    <n v="2310"/>
    <n v="5"/>
    <n v="28528.5"/>
    <x v="7"/>
    <n v="26218.5"/>
    <x v="0"/>
  </r>
  <r>
    <s v="WD0784"/>
    <d v="2024-03-11T00:00:00"/>
    <x v="2"/>
    <x v="0"/>
    <x v="3"/>
    <x v="1"/>
    <s v="Formal Black Trousers"/>
    <n v="7"/>
    <n v="1720"/>
    <n v="25"/>
    <n v="9030"/>
    <x v="6"/>
    <n v="7310"/>
    <x v="0"/>
  </r>
  <r>
    <s v="WD0280"/>
    <d v="2024-03-11T00:00:00"/>
    <x v="2"/>
    <x v="0"/>
    <x v="2"/>
    <x v="1"/>
    <s v="Cargo Trousers"/>
    <n v="1"/>
    <n v="2150"/>
    <n v="0"/>
    <n v="2150"/>
    <x v="9"/>
    <n v="0"/>
    <x v="0"/>
  </r>
  <r>
    <s v="WD0396"/>
    <d v="2024-03-11T00:00:00"/>
    <x v="2"/>
    <x v="0"/>
    <x v="3"/>
    <x v="0"/>
    <s v="Silk Scarf"/>
    <n v="7"/>
    <n v="1680"/>
    <n v="20"/>
    <n v="9408"/>
    <x v="3"/>
    <n v="7728"/>
    <x v="0"/>
  </r>
  <r>
    <s v="WD0281"/>
    <d v="2024-03-12T00:00:00"/>
    <x v="2"/>
    <x v="0"/>
    <x v="3"/>
    <x v="4"/>
    <s v="Blazer"/>
    <n v="15"/>
    <n v="3040"/>
    <n v="20"/>
    <n v="36480"/>
    <x v="7"/>
    <n v="33440"/>
    <x v="0"/>
  </r>
  <r>
    <s v="WD0631"/>
    <d v="2024-03-12T00:00:00"/>
    <x v="2"/>
    <x v="0"/>
    <x v="1"/>
    <x v="1"/>
    <s v="Slim Fit Chinos"/>
    <n v="14"/>
    <n v="3070"/>
    <n v="30"/>
    <n v="30086"/>
    <x v="10"/>
    <n v="27016"/>
    <x v="0"/>
  </r>
  <r>
    <s v="WD0582"/>
    <d v="2024-03-12T00:00:00"/>
    <x v="2"/>
    <x v="0"/>
    <x v="3"/>
    <x v="0"/>
    <s v="Leather Belt"/>
    <n v="3"/>
    <n v="420"/>
    <n v="15"/>
    <n v="1071"/>
    <x v="3"/>
    <n v="651"/>
    <x v="0"/>
  </r>
  <r>
    <s v="WD0916"/>
    <d v="2024-03-13T00:00:00"/>
    <x v="2"/>
    <x v="0"/>
    <x v="2"/>
    <x v="5"/>
    <s v="Casual Polo"/>
    <n v="2"/>
    <n v="1240"/>
    <n v="10"/>
    <n v="2232"/>
    <x v="2"/>
    <n v="992"/>
    <x v="0"/>
  </r>
  <r>
    <s v="WD0213"/>
    <d v="2024-03-13T00:00:00"/>
    <x v="2"/>
    <x v="0"/>
    <x v="3"/>
    <x v="3"/>
    <s v="Casual Sundress"/>
    <n v="10"/>
    <n v="2670"/>
    <n v="25"/>
    <n v="20025"/>
    <x v="7"/>
    <n v="17355"/>
    <x v="0"/>
  </r>
  <r>
    <s v="WD0988"/>
    <d v="2024-03-14T00:00:00"/>
    <x v="2"/>
    <x v="0"/>
    <x v="3"/>
    <x v="0"/>
    <s v="Cap"/>
    <n v="10"/>
    <n v="560"/>
    <n v="10"/>
    <n v="5040"/>
    <x v="6"/>
    <n v="4480"/>
    <x v="0"/>
  </r>
  <r>
    <s v="WD0232"/>
    <d v="2024-03-14T00:00:00"/>
    <x v="2"/>
    <x v="0"/>
    <x v="0"/>
    <x v="2"/>
    <s v="Kurta Set"/>
    <n v="10"/>
    <n v="8770"/>
    <n v="5"/>
    <n v="83315"/>
    <x v="8"/>
    <n v="74545"/>
    <x v="0"/>
  </r>
  <r>
    <s v="WD0356"/>
    <d v="2024-03-14T00:00:00"/>
    <x v="2"/>
    <x v="0"/>
    <x v="1"/>
    <x v="1"/>
    <s v="Jogger Pants"/>
    <n v="4"/>
    <n v="840"/>
    <n v="20"/>
    <n v="2688"/>
    <x v="10"/>
    <n v="1848"/>
    <x v="0"/>
  </r>
  <r>
    <s v="WD0542"/>
    <d v="2024-03-14T00:00:00"/>
    <x v="2"/>
    <x v="0"/>
    <x v="2"/>
    <x v="3"/>
    <s v="Wrap Dress"/>
    <n v="15"/>
    <n v="5930"/>
    <n v="15"/>
    <n v="75607.5"/>
    <x v="2"/>
    <n v="69677.5"/>
    <x v="0"/>
  </r>
  <r>
    <s v="WD0593"/>
    <d v="2024-03-15T00:00:00"/>
    <x v="2"/>
    <x v="0"/>
    <x v="3"/>
    <x v="4"/>
    <s v="Denim Jacket"/>
    <n v="1"/>
    <n v="5660"/>
    <n v="15"/>
    <n v="4811"/>
    <x v="6"/>
    <n v="-849"/>
    <x v="0"/>
  </r>
  <r>
    <s v="WD0637"/>
    <d v="2024-03-15T00:00:00"/>
    <x v="2"/>
    <x v="0"/>
    <x v="2"/>
    <x v="4"/>
    <s v="Leather Jacket"/>
    <n v="10"/>
    <n v="3250"/>
    <n v="25"/>
    <n v="24375"/>
    <x v="9"/>
    <n v="21125"/>
    <x v="0"/>
  </r>
  <r>
    <s v="WD0724"/>
    <d v="2024-03-15T00:00:00"/>
    <x v="2"/>
    <x v="0"/>
    <x v="0"/>
    <x v="0"/>
    <s v="Leather Belt"/>
    <n v="14"/>
    <n v="1190"/>
    <n v="30"/>
    <n v="11662"/>
    <x v="11"/>
    <n v="10472"/>
    <x v="0"/>
  </r>
  <r>
    <s v="WD0694"/>
    <d v="2024-03-17T00:00:00"/>
    <x v="2"/>
    <x v="0"/>
    <x v="3"/>
    <x v="1"/>
    <s v="Cargo Trousers"/>
    <n v="4"/>
    <n v="3110"/>
    <n v="5"/>
    <n v="11818"/>
    <x v="7"/>
    <n v="8708"/>
    <x v="0"/>
  </r>
  <r>
    <s v="WD0924"/>
    <d v="2024-03-17T00:00:00"/>
    <x v="2"/>
    <x v="0"/>
    <x v="2"/>
    <x v="4"/>
    <s v="Leather Jacket"/>
    <n v="4"/>
    <n v="3930"/>
    <n v="0"/>
    <n v="15720"/>
    <x v="9"/>
    <n v="11790"/>
    <x v="0"/>
  </r>
  <r>
    <s v="WD0541"/>
    <d v="2024-03-18T00:00:00"/>
    <x v="2"/>
    <x v="0"/>
    <x v="0"/>
    <x v="2"/>
    <s v="Sherwani"/>
    <n v="14"/>
    <n v="6250"/>
    <n v="30"/>
    <n v="61250"/>
    <x v="11"/>
    <n v="55000"/>
    <x v="0"/>
  </r>
  <r>
    <s v="WD0954"/>
    <d v="2024-03-18T00:00:00"/>
    <x v="2"/>
    <x v="0"/>
    <x v="1"/>
    <x v="1"/>
    <s v="Jogger Pants"/>
    <n v="3"/>
    <n v="1100"/>
    <n v="15"/>
    <n v="2805"/>
    <x v="4"/>
    <n v="1705"/>
    <x v="0"/>
  </r>
  <r>
    <s v="WD0834"/>
    <d v="2024-03-19T00:00:00"/>
    <x v="2"/>
    <x v="0"/>
    <x v="1"/>
    <x v="4"/>
    <s v="Denim Jacket"/>
    <n v="15"/>
    <n v="7590"/>
    <n v="20"/>
    <n v="91080"/>
    <x v="4"/>
    <n v="83490"/>
    <x v="0"/>
  </r>
  <r>
    <s v="WD0203"/>
    <d v="2024-03-19T00:00:00"/>
    <x v="2"/>
    <x v="0"/>
    <x v="2"/>
    <x v="5"/>
    <s v="Casual Polo"/>
    <n v="3"/>
    <n v="1090"/>
    <n v="20"/>
    <n v="2616"/>
    <x v="9"/>
    <n v="1526"/>
    <x v="0"/>
  </r>
  <r>
    <s v="WD0961"/>
    <d v="2024-03-19T00:00:00"/>
    <x v="2"/>
    <x v="0"/>
    <x v="3"/>
    <x v="1"/>
    <s v="Formal Black Trousers"/>
    <n v="12"/>
    <n v="3070"/>
    <n v="25"/>
    <n v="27630"/>
    <x v="6"/>
    <n v="24560"/>
    <x v="0"/>
  </r>
  <r>
    <s v="WD0965"/>
    <d v="2024-03-20T00:00:00"/>
    <x v="2"/>
    <x v="0"/>
    <x v="1"/>
    <x v="4"/>
    <s v="Blazer"/>
    <n v="8"/>
    <n v="7380"/>
    <n v="10"/>
    <n v="53136"/>
    <x v="4"/>
    <n v="45756"/>
    <x v="0"/>
  </r>
  <r>
    <s v="WD0437"/>
    <d v="2024-03-20T00:00:00"/>
    <x v="2"/>
    <x v="0"/>
    <x v="3"/>
    <x v="5"/>
    <s v="Formal Blue Shirt"/>
    <n v="15"/>
    <n v="750"/>
    <n v="5"/>
    <n v="10687.5"/>
    <x v="3"/>
    <n v="9937.5"/>
    <x v="0"/>
  </r>
  <r>
    <s v="WD0418"/>
    <d v="2024-03-21T00:00:00"/>
    <x v="2"/>
    <x v="0"/>
    <x v="1"/>
    <x v="0"/>
    <s v="Handbag"/>
    <n v="15"/>
    <n v="340"/>
    <n v="30"/>
    <n v="3570"/>
    <x v="1"/>
    <n v="3230"/>
    <x v="0"/>
  </r>
  <r>
    <s v="WD0781"/>
    <d v="2024-03-21T00:00:00"/>
    <x v="2"/>
    <x v="0"/>
    <x v="1"/>
    <x v="1"/>
    <s v="Jogger Pants"/>
    <n v="7"/>
    <n v="1700"/>
    <n v="25"/>
    <n v="8925"/>
    <x v="4"/>
    <n v="7225"/>
    <x v="0"/>
  </r>
  <r>
    <s v="WD0004"/>
    <d v="2024-03-22T00:00:00"/>
    <x v="2"/>
    <x v="0"/>
    <x v="0"/>
    <x v="2"/>
    <s v="Sherwani"/>
    <n v="1"/>
    <n v="10810"/>
    <n v="30"/>
    <n v="7567"/>
    <x v="0"/>
    <n v="-3243"/>
    <x v="0"/>
  </r>
  <r>
    <s v="WD0519"/>
    <d v="2024-03-22T00:00:00"/>
    <x v="2"/>
    <x v="0"/>
    <x v="0"/>
    <x v="2"/>
    <s v="Sherwani"/>
    <n v="9"/>
    <n v="10940"/>
    <n v="30"/>
    <n v="68922"/>
    <x v="11"/>
    <n v="57982"/>
    <x v="0"/>
  </r>
  <r>
    <s v="WD0016"/>
    <d v="2024-03-22T00:00:00"/>
    <x v="2"/>
    <x v="0"/>
    <x v="0"/>
    <x v="5"/>
    <s v="Classic White Shirt"/>
    <n v="3"/>
    <n v="2240"/>
    <n v="25"/>
    <n v="5040"/>
    <x v="0"/>
    <n v="2800"/>
    <x v="0"/>
  </r>
  <r>
    <s v="WD0702"/>
    <d v="2024-03-23T00:00:00"/>
    <x v="2"/>
    <x v="0"/>
    <x v="3"/>
    <x v="4"/>
    <s v="Blazer"/>
    <n v="2"/>
    <n v="7940"/>
    <n v="0"/>
    <n v="15880"/>
    <x v="7"/>
    <n v="7940"/>
    <x v="0"/>
  </r>
  <r>
    <s v="WD0494"/>
    <d v="2024-03-23T00:00:00"/>
    <x v="2"/>
    <x v="0"/>
    <x v="3"/>
    <x v="3"/>
    <s v="Floral Maxi Dress"/>
    <n v="3"/>
    <n v="1370"/>
    <n v="15"/>
    <n v="3493.5"/>
    <x v="3"/>
    <n v="2123.5"/>
    <x v="0"/>
  </r>
  <r>
    <s v="WD0124"/>
    <d v="2024-03-23T00:00:00"/>
    <x v="2"/>
    <x v="0"/>
    <x v="0"/>
    <x v="3"/>
    <s v="Wrap Dress"/>
    <n v="11"/>
    <n v="2670"/>
    <n v="0"/>
    <n v="29370"/>
    <x v="8"/>
    <n v="26700"/>
    <x v="0"/>
  </r>
  <r>
    <s v="WD0440"/>
    <d v="2024-03-24T00:00:00"/>
    <x v="2"/>
    <x v="0"/>
    <x v="2"/>
    <x v="5"/>
    <s v="Classic White Shirt"/>
    <n v="12"/>
    <n v="1940"/>
    <n v="0"/>
    <n v="23280"/>
    <x v="2"/>
    <n v="21340"/>
    <x v="0"/>
  </r>
  <r>
    <s v="WD0610"/>
    <d v="2024-03-26T00:00:00"/>
    <x v="2"/>
    <x v="0"/>
    <x v="3"/>
    <x v="0"/>
    <s v="Silk Scarf"/>
    <n v="2"/>
    <n v="1160"/>
    <n v="0"/>
    <n v="2320"/>
    <x v="3"/>
    <n v="1160"/>
    <x v="0"/>
  </r>
  <r>
    <s v="WD0730"/>
    <d v="2024-03-26T00:00:00"/>
    <x v="2"/>
    <x v="0"/>
    <x v="2"/>
    <x v="5"/>
    <s v="Casual Polo"/>
    <n v="6"/>
    <n v="1800"/>
    <n v="0"/>
    <n v="10800"/>
    <x v="2"/>
    <n v="9000"/>
    <x v="0"/>
  </r>
  <r>
    <s v="WD0566"/>
    <d v="2024-03-26T00:00:00"/>
    <x v="2"/>
    <x v="0"/>
    <x v="0"/>
    <x v="0"/>
    <s v="Handbag"/>
    <n v="11"/>
    <n v="2460"/>
    <n v="30"/>
    <n v="18942"/>
    <x v="11"/>
    <n v="16482"/>
    <x v="0"/>
  </r>
  <r>
    <s v="WD0701"/>
    <d v="2024-03-26T00:00:00"/>
    <x v="2"/>
    <x v="0"/>
    <x v="0"/>
    <x v="2"/>
    <s v="Sherwani"/>
    <n v="3"/>
    <n v="6830"/>
    <n v="30"/>
    <n v="14343"/>
    <x v="0"/>
    <n v="7513"/>
    <x v="0"/>
  </r>
  <r>
    <s v="WD0750"/>
    <d v="2024-03-26T00:00:00"/>
    <x v="2"/>
    <x v="0"/>
    <x v="3"/>
    <x v="0"/>
    <s v="Handbag"/>
    <n v="7"/>
    <n v="2200"/>
    <n v="0"/>
    <n v="15400"/>
    <x v="6"/>
    <n v="13200"/>
    <x v="0"/>
  </r>
  <r>
    <s v="WD0201"/>
    <d v="2024-03-27T00:00:00"/>
    <x v="2"/>
    <x v="0"/>
    <x v="1"/>
    <x v="4"/>
    <s v="Bomber Jacket"/>
    <n v="4"/>
    <n v="7220"/>
    <n v="10"/>
    <n v="25992"/>
    <x v="4"/>
    <n v="18772"/>
    <x v="0"/>
  </r>
  <r>
    <s v="WD0806"/>
    <d v="2024-03-28T00:00:00"/>
    <x v="2"/>
    <x v="0"/>
    <x v="0"/>
    <x v="0"/>
    <s v="Silk Scarf"/>
    <n v="7"/>
    <n v="1320"/>
    <n v="0"/>
    <n v="9240"/>
    <x v="8"/>
    <n v="7920"/>
    <x v="0"/>
  </r>
  <r>
    <s v="WD0759"/>
    <d v="2024-03-29T00:00:00"/>
    <x v="2"/>
    <x v="0"/>
    <x v="2"/>
    <x v="0"/>
    <s v="Leather Belt"/>
    <n v="13"/>
    <n v="2250"/>
    <n v="15"/>
    <n v="24862.5"/>
    <x v="2"/>
    <n v="22612.5"/>
    <x v="0"/>
  </r>
  <r>
    <s v="WD0513"/>
    <d v="2024-03-29T00:00:00"/>
    <x v="2"/>
    <x v="0"/>
    <x v="3"/>
    <x v="4"/>
    <s v="Blazer"/>
    <n v="8"/>
    <n v="6000"/>
    <n v="0"/>
    <n v="48000"/>
    <x v="7"/>
    <n v="42000"/>
    <x v="0"/>
  </r>
  <r>
    <s v="WD0562"/>
    <d v="2024-03-30T00:00:00"/>
    <x v="2"/>
    <x v="0"/>
    <x v="2"/>
    <x v="4"/>
    <s v="Bomber Jacket"/>
    <n v="1"/>
    <n v="3850"/>
    <n v="0"/>
    <n v="3850"/>
    <x v="5"/>
    <n v="0"/>
    <x v="0"/>
  </r>
  <r>
    <s v="WD0122"/>
    <d v="2024-03-30T00:00:00"/>
    <x v="2"/>
    <x v="0"/>
    <x v="1"/>
    <x v="0"/>
    <s v="Cap"/>
    <n v="13"/>
    <n v="1850"/>
    <n v="30"/>
    <n v="16835"/>
    <x v="1"/>
    <n v="14985"/>
    <x v="0"/>
  </r>
  <r>
    <s v="WD0825"/>
    <d v="2024-03-30T00:00:00"/>
    <x v="2"/>
    <x v="0"/>
    <x v="3"/>
    <x v="3"/>
    <s v="Wrap Dress"/>
    <n v="10"/>
    <n v="4620"/>
    <n v="0"/>
    <n v="46200"/>
    <x v="6"/>
    <n v="41580"/>
    <x v="0"/>
  </r>
  <r>
    <s v="WD0879"/>
    <d v="2024-03-30T00:00:00"/>
    <x v="2"/>
    <x v="0"/>
    <x v="2"/>
    <x v="2"/>
    <s v="Saree"/>
    <n v="6"/>
    <n v="9080"/>
    <n v="30"/>
    <n v="38136"/>
    <x v="2"/>
    <n v="29056"/>
    <x v="0"/>
  </r>
  <r>
    <s v="WD0586"/>
    <d v="2024-03-31T00:00:00"/>
    <x v="2"/>
    <x v="0"/>
    <x v="1"/>
    <x v="2"/>
    <s v="Lehenga"/>
    <n v="8"/>
    <n v="11150"/>
    <n v="20"/>
    <n v="71360"/>
    <x v="10"/>
    <n v="60210"/>
    <x v="0"/>
  </r>
  <r>
    <s v="WD0301"/>
    <d v="2024-03-31T00:00:00"/>
    <x v="2"/>
    <x v="0"/>
    <x v="2"/>
    <x v="2"/>
    <s v="Kurta Set"/>
    <n v="3"/>
    <n v="12000"/>
    <n v="15"/>
    <n v="30600"/>
    <x v="5"/>
    <n v="18600"/>
    <x v="0"/>
  </r>
  <r>
    <s v="WD0711"/>
    <d v="2024-03-31T00:00:00"/>
    <x v="2"/>
    <x v="0"/>
    <x v="3"/>
    <x v="2"/>
    <s v="Lehenga"/>
    <n v="12"/>
    <n v="3050"/>
    <n v="20"/>
    <n v="29280"/>
    <x v="3"/>
    <n v="26230"/>
    <x v="0"/>
  </r>
  <r>
    <s v="WD0448"/>
    <d v="2024-04-01T00:00:00"/>
    <x v="3"/>
    <x v="1"/>
    <x v="1"/>
    <x v="2"/>
    <s v="Sherwani"/>
    <n v="11"/>
    <n v="2870"/>
    <n v="0"/>
    <n v="31570"/>
    <x v="4"/>
    <n v="28700"/>
    <x v="0"/>
  </r>
  <r>
    <s v="WD0895"/>
    <d v="2024-04-01T00:00:00"/>
    <x v="3"/>
    <x v="1"/>
    <x v="0"/>
    <x v="3"/>
    <s v="Floral Maxi Dress"/>
    <n v="14"/>
    <n v="2290"/>
    <n v="10"/>
    <n v="28854"/>
    <x v="8"/>
    <n v="26564"/>
    <x v="0"/>
  </r>
  <r>
    <s v="WD0802"/>
    <d v="2024-04-02T00:00:00"/>
    <x v="3"/>
    <x v="1"/>
    <x v="0"/>
    <x v="0"/>
    <s v="Handbag"/>
    <n v="9"/>
    <n v="540"/>
    <n v="0"/>
    <n v="4860"/>
    <x v="0"/>
    <n v="4320"/>
    <x v="0"/>
  </r>
  <r>
    <s v="WD0244"/>
    <d v="2024-04-02T00:00:00"/>
    <x v="3"/>
    <x v="1"/>
    <x v="1"/>
    <x v="0"/>
    <s v="Handbag"/>
    <n v="10"/>
    <n v="510"/>
    <n v="30"/>
    <n v="3570"/>
    <x v="10"/>
    <n v="3060"/>
    <x v="0"/>
  </r>
  <r>
    <s v="WD0921"/>
    <d v="2024-04-02T00:00:00"/>
    <x v="3"/>
    <x v="1"/>
    <x v="0"/>
    <x v="1"/>
    <s v="Formal Black Trousers"/>
    <n v="1"/>
    <n v="2450"/>
    <n v="20"/>
    <n v="1960"/>
    <x v="0"/>
    <n v="-490"/>
    <x v="0"/>
  </r>
  <r>
    <s v="WD0719"/>
    <d v="2024-04-03T00:00:00"/>
    <x v="3"/>
    <x v="1"/>
    <x v="3"/>
    <x v="3"/>
    <s v="Evening Gown"/>
    <n v="14"/>
    <n v="3060"/>
    <n v="0"/>
    <n v="42840"/>
    <x v="6"/>
    <n v="39780"/>
    <x v="0"/>
  </r>
  <r>
    <s v="WD0389"/>
    <d v="2024-04-05T00:00:00"/>
    <x v="3"/>
    <x v="1"/>
    <x v="0"/>
    <x v="4"/>
    <s v="Leather Jacket"/>
    <n v="11"/>
    <n v="7580"/>
    <n v="5"/>
    <n v="79211"/>
    <x v="0"/>
    <n v="71631"/>
    <x v="0"/>
  </r>
  <r>
    <s v="WD0721"/>
    <d v="2024-04-05T00:00:00"/>
    <x v="3"/>
    <x v="1"/>
    <x v="2"/>
    <x v="3"/>
    <s v="Floral Maxi Dress"/>
    <n v="9"/>
    <n v="1760"/>
    <n v="0"/>
    <n v="15840"/>
    <x v="5"/>
    <n v="14080"/>
    <x v="0"/>
  </r>
  <r>
    <s v="WD0323"/>
    <d v="2024-04-06T00:00:00"/>
    <x v="3"/>
    <x v="1"/>
    <x v="0"/>
    <x v="1"/>
    <s v="Formal Black Trousers"/>
    <n v="3"/>
    <n v="2040"/>
    <n v="10"/>
    <n v="5508"/>
    <x v="0"/>
    <n v="3468"/>
    <x v="0"/>
  </r>
  <r>
    <s v="WD0287"/>
    <d v="2024-04-07T00:00:00"/>
    <x v="3"/>
    <x v="1"/>
    <x v="0"/>
    <x v="1"/>
    <s v="Formal Black Trousers"/>
    <n v="12"/>
    <n v="880"/>
    <n v="0"/>
    <n v="10560"/>
    <x v="11"/>
    <n v="9680"/>
    <x v="0"/>
  </r>
  <r>
    <s v="WD0906"/>
    <d v="2024-04-07T00:00:00"/>
    <x v="3"/>
    <x v="1"/>
    <x v="3"/>
    <x v="4"/>
    <s v="Denim Jacket"/>
    <n v="8"/>
    <n v="8200"/>
    <n v="25"/>
    <n v="49200"/>
    <x v="6"/>
    <n v="41000"/>
    <x v="0"/>
  </r>
  <r>
    <s v="WD0507"/>
    <d v="2024-04-08T00:00:00"/>
    <x v="3"/>
    <x v="1"/>
    <x v="2"/>
    <x v="5"/>
    <s v="Striped Shirt"/>
    <n v="3"/>
    <n v="930"/>
    <n v="5"/>
    <n v="2650.5"/>
    <x v="5"/>
    <n v="1720.5"/>
    <x v="0"/>
  </r>
  <r>
    <s v="WD0104"/>
    <d v="2024-04-08T00:00:00"/>
    <x v="3"/>
    <x v="1"/>
    <x v="0"/>
    <x v="3"/>
    <s v="Evening Gown"/>
    <n v="2"/>
    <n v="2260"/>
    <n v="25"/>
    <n v="3390"/>
    <x v="8"/>
    <n v="1130"/>
    <x v="0"/>
  </r>
  <r>
    <s v="WD0887"/>
    <d v="2024-04-09T00:00:00"/>
    <x v="3"/>
    <x v="1"/>
    <x v="0"/>
    <x v="4"/>
    <s v="Leather Jacket"/>
    <n v="10"/>
    <n v="7140"/>
    <n v="30"/>
    <n v="49980"/>
    <x v="0"/>
    <n v="42840"/>
    <x v="0"/>
  </r>
  <r>
    <s v="WD0451"/>
    <d v="2024-04-10T00:00:00"/>
    <x v="3"/>
    <x v="1"/>
    <x v="2"/>
    <x v="4"/>
    <s v="Bomber Jacket"/>
    <n v="8"/>
    <n v="6140"/>
    <n v="30"/>
    <n v="34384"/>
    <x v="9"/>
    <n v="28244"/>
    <x v="0"/>
  </r>
  <r>
    <s v="WD0069"/>
    <d v="2024-04-11T00:00:00"/>
    <x v="3"/>
    <x v="1"/>
    <x v="3"/>
    <x v="5"/>
    <s v="Casual Polo"/>
    <n v="4"/>
    <n v="1880"/>
    <n v="30"/>
    <n v="5264"/>
    <x v="6"/>
    <n v="3384"/>
    <x v="0"/>
  </r>
  <r>
    <s v="WD0766"/>
    <d v="2024-04-11T00:00:00"/>
    <x v="3"/>
    <x v="1"/>
    <x v="0"/>
    <x v="0"/>
    <s v="Silk Scarf"/>
    <n v="8"/>
    <n v="2360"/>
    <n v="20"/>
    <n v="15104"/>
    <x v="8"/>
    <n v="12744"/>
    <x v="0"/>
  </r>
  <r>
    <s v="WD0776"/>
    <d v="2024-04-12T00:00:00"/>
    <x v="3"/>
    <x v="1"/>
    <x v="1"/>
    <x v="4"/>
    <s v="Denim Jacket"/>
    <n v="1"/>
    <n v="3790"/>
    <n v="10"/>
    <n v="3411"/>
    <x v="10"/>
    <n v="-379"/>
    <x v="0"/>
  </r>
  <r>
    <s v="WD0904"/>
    <d v="2024-04-13T00:00:00"/>
    <x v="3"/>
    <x v="1"/>
    <x v="3"/>
    <x v="5"/>
    <s v="Striped Shirt"/>
    <n v="5"/>
    <n v="2040"/>
    <n v="25"/>
    <n v="7650"/>
    <x v="6"/>
    <n v="5610"/>
    <x v="0"/>
  </r>
  <r>
    <s v="WD0480"/>
    <d v="2024-04-13T00:00:00"/>
    <x v="3"/>
    <x v="1"/>
    <x v="2"/>
    <x v="5"/>
    <s v="Striped Shirt"/>
    <n v="15"/>
    <n v="600"/>
    <n v="20"/>
    <n v="7200"/>
    <x v="5"/>
    <n v="6600"/>
    <x v="0"/>
  </r>
  <r>
    <s v="WD0662"/>
    <d v="2024-04-14T00:00:00"/>
    <x v="3"/>
    <x v="1"/>
    <x v="0"/>
    <x v="2"/>
    <s v="Sherwani"/>
    <n v="11"/>
    <n v="8540"/>
    <n v="15"/>
    <n v="79849"/>
    <x v="8"/>
    <n v="71309"/>
    <x v="0"/>
  </r>
  <r>
    <s v="WD0430"/>
    <d v="2024-04-15T00:00:00"/>
    <x v="3"/>
    <x v="1"/>
    <x v="3"/>
    <x v="0"/>
    <s v="Leather Belt"/>
    <n v="11"/>
    <n v="2590"/>
    <n v="10"/>
    <n v="25641"/>
    <x v="3"/>
    <n v="23051"/>
    <x v="0"/>
  </r>
  <r>
    <s v="WD0185"/>
    <d v="2024-04-18T00:00:00"/>
    <x v="3"/>
    <x v="1"/>
    <x v="1"/>
    <x v="3"/>
    <s v="Evening Gown"/>
    <n v="10"/>
    <n v="2760"/>
    <n v="20"/>
    <n v="22080"/>
    <x v="4"/>
    <n v="19320"/>
    <x v="0"/>
  </r>
  <r>
    <s v="WD0113"/>
    <d v="2024-04-18T00:00:00"/>
    <x v="3"/>
    <x v="1"/>
    <x v="1"/>
    <x v="2"/>
    <s v="Kurta Set"/>
    <n v="4"/>
    <n v="12400"/>
    <n v="25"/>
    <n v="37200"/>
    <x v="1"/>
    <n v="24800"/>
    <x v="0"/>
  </r>
  <r>
    <s v="WD0551"/>
    <d v="2024-04-18T00:00:00"/>
    <x v="3"/>
    <x v="1"/>
    <x v="2"/>
    <x v="4"/>
    <s v="Denim Jacket"/>
    <n v="12"/>
    <n v="3600"/>
    <n v="5"/>
    <n v="41040"/>
    <x v="9"/>
    <n v="37440"/>
    <x v="0"/>
  </r>
  <r>
    <s v="WD0525"/>
    <d v="2024-04-19T00:00:00"/>
    <x v="3"/>
    <x v="1"/>
    <x v="3"/>
    <x v="5"/>
    <s v="Striped Shirt"/>
    <n v="14"/>
    <n v="690"/>
    <n v="20"/>
    <n v="7728"/>
    <x v="6"/>
    <n v="7038"/>
    <x v="0"/>
  </r>
  <r>
    <s v="WD0067"/>
    <d v="2024-04-19T00:00:00"/>
    <x v="3"/>
    <x v="1"/>
    <x v="2"/>
    <x v="4"/>
    <s v="Bomber Jacket"/>
    <n v="8"/>
    <n v="5250"/>
    <n v="25"/>
    <n v="31500"/>
    <x v="9"/>
    <n v="26250"/>
    <x v="0"/>
  </r>
  <r>
    <s v="WD0611"/>
    <d v="2024-04-19T00:00:00"/>
    <x v="3"/>
    <x v="1"/>
    <x v="1"/>
    <x v="0"/>
    <s v="Leather Belt"/>
    <n v="11"/>
    <n v="870"/>
    <n v="30"/>
    <n v="6699"/>
    <x v="10"/>
    <n v="5829"/>
    <x v="0"/>
  </r>
  <r>
    <s v="WD0856"/>
    <d v="2024-04-21T00:00:00"/>
    <x v="3"/>
    <x v="1"/>
    <x v="0"/>
    <x v="3"/>
    <s v="Wrap Dress"/>
    <n v="1"/>
    <n v="4220"/>
    <n v="0"/>
    <n v="4220"/>
    <x v="11"/>
    <n v="0"/>
    <x v="0"/>
  </r>
  <r>
    <s v="WD0934"/>
    <d v="2024-04-22T00:00:00"/>
    <x v="3"/>
    <x v="1"/>
    <x v="1"/>
    <x v="4"/>
    <s v="Blazer"/>
    <n v="13"/>
    <n v="4930"/>
    <n v="10"/>
    <n v="57681"/>
    <x v="1"/>
    <n v="52751"/>
    <x v="0"/>
  </r>
  <r>
    <s v="WD0968"/>
    <d v="2024-04-22T00:00:00"/>
    <x v="3"/>
    <x v="1"/>
    <x v="2"/>
    <x v="0"/>
    <s v="Leather Belt"/>
    <n v="7"/>
    <n v="1130"/>
    <n v="20"/>
    <n v="6328"/>
    <x v="2"/>
    <n v="5198"/>
    <x v="0"/>
  </r>
  <r>
    <s v="WD0015"/>
    <d v="2024-04-22T00:00:00"/>
    <x v="3"/>
    <x v="1"/>
    <x v="3"/>
    <x v="0"/>
    <s v="Handbag"/>
    <n v="7"/>
    <n v="2720"/>
    <n v="10"/>
    <n v="17136"/>
    <x v="6"/>
    <n v="14416"/>
    <x v="0"/>
  </r>
  <r>
    <s v="WD0993"/>
    <d v="2024-04-23T00:00:00"/>
    <x v="3"/>
    <x v="1"/>
    <x v="3"/>
    <x v="1"/>
    <s v="Jogger Pants"/>
    <n v="14"/>
    <n v="880"/>
    <n v="0"/>
    <n v="12320"/>
    <x v="6"/>
    <n v="11440"/>
    <x v="0"/>
  </r>
  <r>
    <s v="WD0674"/>
    <d v="2024-04-25T00:00:00"/>
    <x v="3"/>
    <x v="1"/>
    <x v="3"/>
    <x v="0"/>
    <s v="Cap"/>
    <n v="14"/>
    <n v="1240"/>
    <n v="10"/>
    <n v="15624"/>
    <x v="3"/>
    <n v="14384"/>
    <x v="0"/>
  </r>
  <r>
    <s v="WD0158"/>
    <d v="2024-04-25T00:00:00"/>
    <x v="3"/>
    <x v="1"/>
    <x v="3"/>
    <x v="5"/>
    <s v="Striped Shirt"/>
    <n v="3"/>
    <n v="2430"/>
    <n v="30"/>
    <n v="5103"/>
    <x v="3"/>
    <n v="2673"/>
    <x v="0"/>
  </r>
  <r>
    <s v="WD0111"/>
    <d v="2024-04-25T00:00:00"/>
    <x v="3"/>
    <x v="1"/>
    <x v="2"/>
    <x v="5"/>
    <s v="Striped Shirt"/>
    <n v="13"/>
    <n v="1750"/>
    <n v="20"/>
    <n v="18200"/>
    <x v="9"/>
    <n v="16450"/>
    <x v="0"/>
  </r>
  <r>
    <s v="WD0262"/>
    <d v="2024-04-25T00:00:00"/>
    <x v="3"/>
    <x v="1"/>
    <x v="2"/>
    <x v="3"/>
    <s v="Casual Sundress"/>
    <n v="15"/>
    <n v="1810"/>
    <n v="25"/>
    <n v="20362.5"/>
    <x v="2"/>
    <n v="18552.5"/>
    <x v="0"/>
  </r>
  <r>
    <s v="WD0142"/>
    <d v="2024-04-26T00:00:00"/>
    <x v="3"/>
    <x v="1"/>
    <x v="1"/>
    <x v="2"/>
    <s v="Kurta Set"/>
    <n v="11"/>
    <n v="4200"/>
    <n v="10"/>
    <n v="41580"/>
    <x v="10"/>
    <n v="37380"/>
    <x v="0"/>
  </r>
  <r>
    <s v="WD0929"/>
    <d v="2024-04-26T00:00:00"/>
    <x v="3"/>
    <x v="1"/>
    <x v="2"/>
    <x v="0"/>
    <s v="Cap"/>
    <n v="2"/>
    <n v="920"/>
    <n v="10"/>
    <n v="1656"/>
    <x v="5"/>
    <n v="736"/>
    <x v="0"/>
  </r>
  <r>
    <s v="WD0008"/>
    <d v="2024-04-26T00:00:00"/>
    <x v="3"/>
    <x v="1"/>
    <x v="3"/>
    <x v="2"/>
    <s v="Saree"/>
    <n v="1"/>
    <n v="9600"/>
    <n v="25"/>
    <n v="7200"/>
    <x v="7"/>
    <n v="-2400"/>
    <x v="0"/>
  </r>
  <r>
    <s v="WD0057"/>
    <d v="2024-04-26T00:00:00"/>
    <x v="3"/>
    <x v="1"/>
    <x v="2"/>
    <x v="1"/>
    <s v="Cargo Trousers"/>
    <n v="14"/>
    <n v="1740"/>
    <n v="30"/>
    <n v="17052"/>
    <x v="5"/>
    <n v="15312"/>
    <x v="0"/>
  </r>
  <r>
    <s v="WD0935"/>
    <d v="2024-04-27T00:00:00"/>
    <x v="3"/>
    <x v="1"/>
    <x v="2"/>
    <x v="0"/>
    <s v="Silk Scarf"/>
    <n v="9"/>
    <n v="1860"/>
    <n v="30"/>
    <n v="11718"/>
    <x v="5"/>
    <n v="9858"/>
    <x v="0"/>
  </r>
  <r>
    <s v="WD0012"/>
    <d v="2024-04-27T00:00:00"/>
    <x v="3"/>
    <x v="1"/>
    <x v="2"/>
    <x v="0"/>
    <s v="Cap"/>
    <n v="13"/>
    <n v="2570"/>
    <n v="0"/>
    <n v="33410"/>
    <x v="5"/>
    <n v="30840"/>
    <x v="0"/>
  </r>
  <r>
    <s v="WD0693"/>
    <d v="2024-04-27T00:00:00"/>
    <x v="3"/>
    <x v="1"/>
    <x v="3"/>
    <x v="4"/>
    <s v="Leather Jacket"/>
    <n v="10"/>
    <n v="6000"/>
    <n v="25"/>
    <n v="45000"/>
    <x v="6"/>
    <n v="39000"/>
    <x v="0"/>
  </r>
  <r>
    <s v="WD0152"/>
    <d v="2024-04-27T00:00:00"/>
    <x v="3"/>
    <x v="1"/>
    <x v="1"/>
    <x v="2"/>
    <s v="Lehenga"/>
    <n v="15"/>
    <n v="11080"/>
    <n v="10"/>
    <n v="149580"/>
    <x v="10"/>
    <n v="138500"/>
    <x v="0"/>
  </r>
  <r>
    <s v="WD0956"/>
    <d v="2024-04-28T00:00:00"/>
    <x v="3"/>
    <x v="1"/>
    <x v="0"/>
    <x v="4"/>
    <s v="Denim Jacket"/>
    <n v="2"/>
    <n v="4040"/>
    <n v="0"/>
    <n v="8080"/>
    <x v="0"/>
    <n v="4040"/>
    <x v="0"/>
  </r>
  <r>
    <s v="WD0002"/>
    <d v="2024-04-29T00:00:00"/>
    <x v="3"/>
    <x v="1"/>
    <x v="1"/>
    <x v="2"/>
    <s v="Lehenga"/>
    <n v="2"/>
    <n v="1860"/>
    <n v="5"/>
    <n v="3534"/>
    <x v="10"/>
    <n v="1674"/>
    <x v="0"/>
  </r>
  <r>
    <s v="WD0170"/>
    <d v="2024-04-29T00:00:00"/>
    <x v="3"/>
    <x v="1"/>
    <x v="2"/>
    <x v="5"/>
    <s v="Casual Polo"/>
    <n v="14"/>
    <n v="1710"/>
    <n v="30"/>
    <n v="16758"/>
    <x v="2"/>
    <n v="15048"/>
    <x v="0"/>
  </r>
  <r>
    <s v="WD0722"/>
    <d v="2024-04-29T00:00:00"/>
    <x v="3"/>
    <x v="1"/>
    <x v="3"/>
    <x v="3"/>
    <s v="Casual Sundress"/>
    <n v="12"/>
    <n v="4570"/>
    <n v="0"/>
    <n v="54840"/>
    <x v="6"/>
    <n v="50270"/>
    <x v="0"/>
  </r>
  <r>
    <s v="WD0421"/>
    <d v="2024-04-29T00:00:00"/>
    <x v="3"/>
    <x v="1"/>
    <x v="2"/>
    <x v="5"/>
    <s v="Striped Shirt"/>
    <n v="12"/>
    <n v="1790"/>
    <n v="25"/>
    <n v="16110"/>
    <x v="2"/>
    <n v="14320"/>
    <x v="0"/>
  </r>
  <r>
    <s v="WD0705"/>
    <d v="2024-04-30T00:00:00"/>
    <x v="3"/>
    <x v="1"/>
    <x v="0"/>
    <x v="4"/>
    <s v="Leather Jacket"/>
    <n v="1"/>
    <n v="3290"/>
    <n v="5"/>
    <n v="3125.5"/>
    <x v="0"/>
    <n v="-164.5"/>
    <x v="0"/>
  </r>
  <r>
    <s v="WD0575"/>
    <d v="2024-04-30T00:00:00"/>
    <x v="3"/>
    <x v="1"/>
    <x v="1"/>
    <x v="2"/>
    <s v="Saree"/>
    <n v="7"/>
    <n v="7830"/>
    <n v="15"/>
    <n v="46588.5"/>
    <x v="4"/>
    <n v="38758.5"/>
    <x v="0"/>
  </r>
  <r>
    <s v="WD0596"/>
    <d v="2024-05-01T00:00:00"/>
    <x v="4"/>
    <x v="1"/>
    <x v="1"/>
    <x v="2"/>
    <s v="Saree"/>
    <n v="9"/>
    <n v="10040"/>
    <n v="15"/>
    <n v="76806"/>
    <x v="10"/>
    <n v="66766"/>
    <x v="0"/>
  </r>
  <r>
    <s v="WD0172"/>
    <d v="2024-05-01T00:00:00"/>
    <x v="4"/>
    <x v="1"/>
    <x v="2"/>
    <x v="5"/>
    <s v="Classic White Shirt"/>
    <n v="6"/>
    <n v="850"/>
    <n v="30"/>
    <n v="3570"/>
    <x v="9"/>
    <n v="2720"/>
    <x v="0"/>
  </r>
  <r>
    <s v="WD0431"/>
    <d v="2024-05-02T00:00:00"/>
    <x v="4"/>
    <x v="1"/>
    <x v="2"/>
    <x v="0"/>
    <s v="Handbag"/>
    <n v="1"/>
    <n v="1100"/>
    <n v="30"/>
    <n v="770"/>
    <x v="2"/>
    <n v="-330"/>
    <x v="0"/>
  </r>
  <r>
    <s v="WD0129"/>
    <d v="2024-05-02T00:00:00"/>
    <x v="4"/>
    <x v="1"/>
    <x v="3"/>
    <x v="4"/>
    <s v="Blazer"/>
    <n v="11"/>
    <n v="2850"/>
    <n v="20"/>
    <n v="25080"/>
    <x v="3"/>
    <n v="22230"/>
    <x v="0"/>
  </r>
  <r>
    <s v="WD0438"/>
    <d v="2024-05-02T00:00:00"/>
    <x v="4"/>
    <x v="1"/>
    <x v="3"/>
    <x v="4"/>
    <s v="Denim Jacket"/>
    <n v="7"/>
    <n v="4170"/>
    <n v="25"/>
    <n v="21892.5"/>
    <x v="6"/>
    <n v="17722.5"/>
    <x v="0"/>
  </r>
  <r>
    <s v="WD0349"/>
    <d v="2024-05-03T00:00:00"/>
    <x v="4"/>
    <x v="1"/>
    <x v="0"/>
    <x v="1"/>
    <s v="Slim Fit Chinos"/>
    <n v="9"/>
    <n v="3280"/>
    <n v="5"/>
    <n v="28044"/>
    <x v="11"/>
    <n v="24764"/>
    <x v="0"/>
  </r>
  <r>
    <s v="WD0324"/>
    <d v="2024-05-03T00:00:00"/>
    <x v="4"/>
    <x v="1"/>
    <x v="1"/>
    <x v="5"/>
    <s v="Striped Shirt"/>
    <n v="15"/>
    <n v="1770"/>
    <n v="0"/>
    <n v="26550"/>
    <x v="4"/>
    <n v="24780"/>
    <x v="0"/>
  </r>
  <r>
    <s v="WD0274"/>
    <d v="2024-05-03T00:00:00"/>
    <x v="4"/>
    <x v="1"/>
    <x v="0"/>
    <x v="5"/>
    <s v="Classic White Shirt"/>
    <n v="9"/>
    <n v="2390"/>
    <n v="15"/>
    <n v="18283.5"/>
    <x v="11"/>
    <n v="15893.5"/>
    <x v="0"/>
  </r>
  <r>
    <s v="WD0532"/>
    <d v="2024-05-03T00:00:00"/>
    <x v="4"/>
    <x v="1"/>
    <x v="3"/>
    <x v="3"/>
    <s v="Evening Gown"/>
    <n v="9"/>
    <n v="1940"/>
    <n v="30"/>
    <n v="12222"/>
    <x v="6"/>
    <n v="10282"/>
    <x v="0"/>
  </r>
  <r>
    <s v="WD0336"/>
    <d v="2024-05-04T00:00:00"/>
    <x v="4"/>
    <x v="1"/>
    <x v="2"/>
    <x v="1"/>
    <s v="Slim Fit Chinos"/>
    <n v="13"/>
    <n v="2820"/>
    <n v="15"/>
    <n v="31161"/>
    <x v="9"/>
    <n v="28341"/>
    <x v="0"/>
  </r>
  <r>
    <s v="WD0367"/>
    <d v="2024-05-04T00:00:00"/>
    <x v="4"/>
    <x v="1"/>
    <x v="3"/>
    <x v="4"/>
    <s v="Blazer"/>
    <n v="12"/>
    <n v="7450"/>
    <n v="20"/>
    <n v="71520"/>
    <x v="3"/>
    <n v="64070"/>
    <x v="0"/>
  </r>
  <r>
    <s v="WD0647"/>
    <d v="2024-05-04T00:00:00"/>
    <x v="4"/>
    <x v="1"/>
    <x v="2"/>
    <x v="2"/>
    <s v="Saree"/>
    <n v="7"/>
    <n v="8940"/>
    <n v="0"/>
    <n v="62580"/>
    <x v="5"/>
    <n v="53640"/>
    <x v="0"/>
  </r>
  <r>
    <s v="WD0297"/>
    <d v="2024-05-04T00:00:00"/>
    <x v="4"/>
    <x v="1"/>
    <x v="3"/>
    <x v="1"/>
    <s v="Slim Fit Chinos"/>
    <n v="10"/>
    <n v="2460"/>
    <n v="5"/>
    <n v="23370"/>
    <x v="6"/>
    <n v="20910"/>
    <x v="0"/>
  </r>
  <r>
    <s v="WD0677"/>
    <d v="2024-05-04T00:00:00"/>
    <x v="4"/>
    <x v="1"/>
    <x v="3"/>
    <x v="0"/>
    <s v="Handbag"/>
    <n v="10"/>
    <n v="2910"/>
    <n v="15"/>
    <n v="24735"/>
    <x v="7"/>
    <n v="21825"/>
    <x v="0"/>
  </r>
  <r>
    <s v="WD0445"/>
    <d v="2024-05-05T00:00:00"/>
    <x v="4"/>
    <x v="1"/>
    <x v="1"/>
    <x v="1"/>
    <s v="Slim Fit Chinos"/>
    <n v="14"/>
    <n v="920"/>
    <n v="0"/>
    <n v="12880"/>
    <x v="4"/>
    <n v="11960"/>
    <x v="0"/>
  </r>
  <r>
    <s v="WD0267"/>
    <d v="2024-05-05T00:00:00"/>
    <x v="4"/>
    <x v="1"/>
    <x v="1"/>
    <x v="4"/>
    <s v="Bomber Jacket"/>
    <n v="5"/>
    <n v="6490"/>
    <n v="15"/>
    <n v="27582.5"/>
    <x v="10"/>
    <n v="21092.5"/>
    <x v="0"/>
  </r>
  <r>
    <s v="WD0341"/>
    <d v="2024-05-05T00:00:00"/>
    <x v="4"/>
    <x v="1"/>
    <x v="2"/>
    <x v="1"/>
    <s v="Jogger Pants"/>
    <n v="10"/>
    <n v="1420"/>
    <n v="30"/>
    <n v="9940"/>
    <x v="2"/>
    <n v="8520"/>
    <x v="0"/>
  </r>
  <r>
    <s v="WD0798"/>
    <d v="2024-05-05T00:00:00"/>
    <x v="4"/>
    <x v="1"/>
    <x v="1"/>
    <x v="2"/>
    <s v="Kurta Set"/>
    <n v="14"/>
    <n v="6690"/>
    <n v="0"/>
    <n v="93660"/>
    <x v="10"/>
    <n v="86970"/>
    <x v="0"/>
  </r>
  <r>
    <s v="WD0767"/>
    <d v="2024-05-06T00:00:00"/>
    <x v="4"/>
    <x v="1"/>
    <x v="0"/>
    <x v="0"/>
    <s v="Silk Scarf"/>
    <n v="12"/>
    <n v="1810"/>
    <n v="20"/>
    <n v="17376"/>
    <x v="11"/>
    <n v="15566"/>
    <x v="0"/>
  </r>
  <r>
    <s v="WD0547"/>
    <d v="2024-05-07T00:00:00"/>
    <x v="4"/>
    <x v="1"/>
    <x v="3"/>
    <x v="2"/>
    <s v="Saree"/>
    <n v="1"/>
    <n v="1710"/>
    <n v="25"/>
    <n v="1282.5"/>
    <x v="6"/>
    <n v="-427.5"/>
    <x v="0"/>
  </r>
  <r>
    <s v="WD0429"/>
    <d v="2024-05-07T00:00:00"/>
    <x v="4"/>
    <x v="1"/>
    <x v="0"/>
    <x v="3"/>
    <s v="Casual Sundress"/>
    <n v="11"/>
    <n v="2240"/>
    <n v="0"/>
    <n v="24640"/>
    <x v="0"/>
    <n v="22400"/>
    <x v="0"/>
  </r>
  <r>
    <s v="WD0251"/>
    <d v="2024-05-07T00:00:00"/>
    <x v="4"/>
    <x v="1"/>
    <x v="2"/>
    <x v="2"/>
    <s v="Sherwani"/>
    <n v="11"/>
    <n v="6080"/>
    <n v="10"/>
    <n v="60192"/>
    <x v="5"/>
    <n v="54112"/>
    <x v="0"/>
  </r>
  <r>
    <s v="WD0223"/>
    <d v="2024-05-08T00:00:00"/>
    <x v="4"/>
    <x v="1"/>
    <x v="0"/>
    <x v="1"/>
    <s v="Formal Black Trousers"/>
    <n v="3"/>
    <n v="2960"/>
    <n v="30"/>
    <n v="6216"/>
    <x v="11"/>
    <n v="3256"/>
    <x v="0"/>
  </r>
  <r>
    <s v="WD0725"/>
    <d v="2024-05-08T00:00:00"/>
    <x v="4"/>
    <x v="1"/>
    <x v="3"/>
    <x v="4"/>
    <s v="Denim Jacket"/>
    <n v="3"/>
    <n v="5800"/>
    <n v="5"/>
    <n v="16530"/>
    <x v="7"/>
    <n v="10730"/>
    <x v="0"/>
  </r>
  <r>
    <s v="WD0898"/>
    <d v="2024-05-08T00:00:00"/>
    <x v="4"/>
    <x v="1"/>
    <x v="3"/>
    <x v="5"/>
    <s v="Classic White Shirt"/>
    <n v="10"/>
    <n v="740"/>
    <n v="25"/>
    <n v="5550"/>
    <x v="7"/>
    <n v="4810"/>
    <x v="0"/>
  </r>
  <r>
    <s v="WD0240"/>
    <d v="2024-05-09T00:00:00"/>
    <x v="4"/>
    <x v="1"/>
    <x v="3"/>
    <x v="2"/>
    <s v="Lehenga"/>
    <n v="9"/>
    <n v="12870"/>
    <n v="15"/>
    <n v="98455.5"/>
    <x v="6"/>
    <n v="85585.5"/>
    <x v="0"/>
  </r>
  <r>
    <s v="WD0623"/>
    <d v="2024-05-09T00:00:00"/>
    <x v="4"/>
    <x v="1"/>
    <x v="0"/>
    <x v="0"/>
    <s v="Silk Scarf"/>
    <n v="4"/>
    <n v="730"/>
    <n v="20"/>
    <n v="2336"/>
    <x v="11"/>
    <n v="1606"/>
    <x v="0"/>
  </r>
  <r>
    <s v="WD0235"/>
    <d v="2024-05-09T00:00:00"/>
    <x v="4"/>
    <x v="1"/>
    <x v="1"/>
    <x v="4"/>
    <s v="Blazer"/>
    <n v="7"/>
    <n v="2300"/>
    <n v="10"/>
    <n v="14490"/>
    <x v="10"/>
    <n v="12190"/>
    <x v="0"/>
  </r>
  <r>
    <s v="WD0892"/>
    <d v="2024-05-09T00:00:00"/>
    <x v="4"/>
    <x v="1"/>
    <x v="0"/>
    <x v="0"/>
    <s v="Silk Scarf"/>
    <n v="12"/>
    <n v="2720"/>
    <n v="5"/>
    <n v="31008"/>
    <x v="8"/>
    <n v="28288"/>
    <x v="0"/>
  </r>
  <r>
    <s v="WD0601"/>
    <d v="2024-05-10T00:00:00"/>
    <x v="4"/>
    <x v="1"/>
    <x v="3"/>
    <x v="2"/>
    <s v="Sherwani"/>
    <n v="10"/>
    <n v="2990"/>
    <n v="30"/>
    <n v="20930"/>
    <x v="6"/>
    <n v="17940"/>
    <x v="0"/>
  </r>
  <r>
    <s v="WD0490"/>
    <d v="2024-05-11T00:00:00"/>
    <x v="4"/>
    <x v="1"/>
    <x v="1"/>
    <x v="3"/>
    <s v="Casual Sundress"/>
    <n v="2"/>
    <n v="2250"/>
    <n v="10"/>
    <n v="4050"/>
    <x v="4"/>
    <n v="1800"/>
    <x v="0"/>
  </r>
  <r>
    <s v="WD0819"/>
    <d v="2024-05-12T00:00:00"/>
    <x v="4"/>
    <x v="1"/>
    <x v="1"/>
    <x v="4"/>
    <s v="Bomber Jacket"/>
    <n v="14"/>
    <n v="4990"/>
    <n v="10"/>
    <n v="62874"/>
    <x v="10"/>
    <n v="57884"/>
    <x v="0"/>
  </r>
  <r>
    <s v="WD0690"/>
    <d v="2024-05-12T00:00:00"/>
    <x v="4"/>
    <x v="1"/>
    <x v="0"/>
    <x v="2"/>
    <s v="Kurta Set"/>
    <n v="10"/>
    <n v="5240"/>
    <n v="30"/>
    <n v="36680"/>
    <x v="11"/>
    <n v="31440"/>
    <x v="0"/>
  </r>
  <r>
    <s v="WD0661"/>
    <d v="2024-05-13T00:00:00"/>
    <x v="4"/>
    <x v="1"/>
    <x v="3"/>
    <x v="5"/>
    <s v="Casual Polo"/>
    <n v="10"/>
    <n v="1410"/>
    <n v="10"/>
    <n v="12690"/>
    <x v="3"/>
    <n v="11280"/>
    <x v="0"/>
  </r>
  <r>
    <s v="WD0680"/>
    <d v="2024-05-14T00:00:00"/>
    <x v="4"/>
    <x v="1"/>
    <x v="3"/>
    <x v="4"/>
    <s v="Bomber Jacket"/>
    <n v="1"/>
    <n v="5610"/>
    <n v="25"/>
    <n v="4207.5"/>
    <x v="6"/>
    <n v="-1402.5"/>
    <x v="0"/>
  </r>
  <r>
    <s v="WD0019"/>
    <d v="2024-05-14T00:00:00"/>
    <x v="4"/>
    <x v="1"/>
    <x v="3"/>
    <x v="5"/>
    <s v="Formal Blue Shirt"/>
    <n v="8"/>
    <n v="1430"/>
    <n v="0"/>
    <n v="11440"/>
    <x v="3"/>
    <n v="10010"/>
    <x v="0"/>
  </r>
  <r>
    <s v="WD0434"/>
    <d v="2024-05-14T00:00:00"/>
    <x v="4"/>
    <x v="1"/>
    <x v="2"/>
    <x v="4"/>
    <s v="Denim Jacket"/>
    <n v="2"/>
    <n v="2120"/>
    <n v="0"/>
    <n v="4240"/>
    <x v="5"/>
    <n v="2120"/>
    <x v="0"/>
  </r>
  <r>
    <s v="WD0757"/>
    <d v="2024-05-15T00:00:00"/>
    <x v="4"/>
    <x v="1"/>
    <x v="2"/>
    <x v="5"/>
    <s v="Classic White Shirt"/>
    <n v="3"/>
    <n v="1470"/>
    <n v="5"/>
    <n v="4189.5"/>
    <x v="2"/>
    <n v="2719.5"/>
    <x v="0"/>
  </r>
  <r>
    <s v="WD0683"/>
    <d v="2024-05-15T00:00:00"/>
    <x v="4"/>
    <x v="1"/>
    <x v="2"/>
    <x v="4"/>
    <s v="Leather Jacket"/>
    <n v="4"/>
    <n v="3640"/>
    <n v="30"/>
    <n v="10192"/>
    <x v="5"/>
    <n v="6552"/>
    <x v="0"/>
  </r>
  <r>
    <s v="WD0046"/>
    <d v="2024-05-15T00:00:00"/>
    <x v="4"/>
    <x v="1"/>
    <x v="1"/>
    <x v="0"/>
    <s v="Cap"/>
    <n v="2"/>
    <n v="2810"/>
    <n v="5"/>
    <n v="5339"/>
    <x v="4"/>
    <n v="2529"/>
    <x v="0"/>
  </r>
  <r>
    <s v="WD0276"/>
    <d v="2024-05-15T00:00:00"/>
    <x v="4"/>
    <x v="1"/>
    <x v="0"/>
    <x v="3"/>
    <s v="Floral Maxi Dress"/>
    <n v="7"/>
    <n v="5230"/>
    <n v="5"/>
    <n v="34779.5"/>
    <x v="0"/>
    <n v="29549.5"/>
    <x v="0"/>
  </r>
  <r>
    <s v="WD0159"/>
    <d v="2024-05-15T00:00:00"/>
    <x v="4"/>
    <x v="1"/>
    <x v="0"/>
    <x v="2"/>
    <s v="Sherwani"/>
    <n v="7"/>
    <n v="2540"/>
    <n v="0"/>
    <n v="17780"/>
    <x v="0"/>
    <n v="15240"/>
    <x v="0"/>
  </r>
  <r>
    <s v="WD0018"/>
    <d v="2024-05-16T00:00:00"/>
    <x v="4"/>
    <x v="1"/>
    <x v="1"/>
    <x v="0"/>
    <s v="Leather Belt"/>
    <n v="9"/>
    <n v="2140"/>
    <n v="30"/>
    <n v="13482"/>
    <x v="10"/>
    <n v="11342"/>
    <x v="0"/>
  </r>
  <r>
    <s v="WD0117"/>
    <d v="2024-05-16T00:00:00"/>
    <x v="4"/>
    <x v="1"/>
    <x v="2"/>
    <x v="4"/>
    <s v="Denim Jacket"/>
    <n v="11"/>
    <n v="5810"/>
    <n v="5"/>
    <n v="60714.5"/>
    <x v="5"/>
    <n v="54904.5"/>
    <x v="0"/>
  </r>
  <r>
    <s v="WD0503"/>
    <d v="2024-05-17T00:00:00"/>
    <x v="4"/>
    <x v="1"/>
    <x v="0"/>
    <x v="5"/>
    <s v="Formal Blue Shirt"/>
    <n v="5"/>
    <n v="1430"/>
    <n v="5"/>
    <n v="6792.5"/>
    <x v="0"/>
    <n v="5362.5"/>
    <x v="0"/>
  </r>
  <r>
    <s v="WD0682"/>
    <d v="2024-05-17T00:00:00"/>
    <x v="4"/>
    <x v="1"/>
    <x v="2"/>
    <x v="4"/>
    <s v="Bomber Jacket"/>
    <n v="15"/>
    <n v="4470"/>
    <n v="20"/>
    <n v="53640"/>
    <x v="5"/>
    <n v="49170"/>
    <x v="0"/>
  </r>
  <r>
    <s v="WD0368"/>
    <d v="2024-05-17T00:00:00"/>
    <x v="4"/>
    <x v="1"/>
    <x v="2"/>
    <x v="0"/>
    <s v="Handbag"/>
    <n v="5"/>
    <n v="760"/>
    <n v="10"/>
    <n v="3420"/>
    <x v="2"/>
    <n v="2660"/>
    <x v="0"/>
  </r>
  <r>
    <s v="WD0441"/>
    <d v="2024-05-17T00:00:00"/>
    <x v="4"/>
    <x v="1"/>
    <x v="3"/>
    <x v="2"/>
    <s v="Sherwani"/>
    <n v="3"/>
    <n v="3420"/>
    <n v="25"/>
    <n v="7695"/>
    <x v="3"/>
    <n v="4275"/>
    <x v="0"/>
  </r>
  <r>
    <s v="WD0296"/>
    <d v="2024-05-18T00:00:00"/>
    <x v="4"/>
    <x v="1"/>
    <x v="3"/>
    <x v="0"/>
    <s v="Handbag"/>
    <n v="14"/>
    <n v="880"/>
    <n v="20"/>
    <n v="9856"/>
    <x v="3"/>
    <n v="8976"/>
    <x v="0"/>
  </r>
  <r>
    <s v="WD0945"/>
    <d v="2024-05-18T00:00:00"/>
    <x v="4"/>
    <x v="1"/>
    <x v="0"/>
    <x v="0"/>
    <s v="Cap"/>
    <n v="5"/>
    <n v="1730"/>
    <n v="15"/>
    <n v="7352.5"/>
    <x v="0"/>
    <n v="5622.5"/>
    <x v="0"/>
  </r>
  <r>
    <s v="WD0794"/>
    <d v="2024-05-18T00:00:00"/>
    <x v="4"/>
    <x v="1"/>
    <x v="2"/>
    <x v="1"/>
    <s v="Formal Black Trousers"/>
    <n v="13"/>
    <n v="890"/>
    <n v="0"/>
    <n v="11570"/>
    <x v="2"/>
    <n v="10680"/>
    <x v="0"/>
  </r>
  <r>
    <s v="WD0119"/>
    <d v="2024-05-19T00:00:00"/>
    <x v="4"/>
    <x v="1"/>
    <x v="0"/>
    <x v="5"/>
    <s v="Striped Shirt"/>
    <n v="12"/>
    <n v="1910"/>
    <n v="15"/>
    <n v="19482"/>
    <x v="0"/>
    <n v="17572"/>
    <x v="0"/>
  </r>
  <r>
    <s v="WD0293"/>
    <d v="2024-05-20T00:00:00"/>
    <x v="4"/>
    <x v="1"/>
    <x v="0"/>
    <x v="3"/>
    <s v="Wrap Dress"/>
    <n v="15"/>
    <n v="2740"/>
    <n v="30"/>
    <n v="28770"/>
    <x v="8"/>
    <n v="26030"/>
    <x v="0"/>
  </r>
  <r>
    <s v="WD0528"/>
    <d v="2024-05-20T00:00:00"/>
    <x v="4"/>
    <x v="1"/>
    <x v="3"/>
    <x v="2"/>
    <s v="Sherwani"/>
    <n v="12"/>
    <n v="9700"/>
    <n v="25"/>
    <n v="87300"/>
    <x v="7"/>
    <n v="77600"/>
    <x v="0"/>
  </r>
  <r>
    <s v="WD0469"/>
    <d v="2024-05-20T00:00:00"/>
    <x v="4"/>
    <x v="1"/>
    <x v="1"/>
    <x v="4"/>
    <s v="Blazer"/>
    <n v="4"/>
    <n v="3210"/>
    <n v="5"/>
    <n v="12198"/>
    <x v="1"/>
    <n v="8988"/>
    <x v="0"/>
  </r>
  <r>
    <s v="WD0686"/>
    <d v="2024-05-20T00:00:00"/>
    <x v="4"/>
    <x v="1"/>
    <x v="0"/>
    <x v="3"/>
    <s v="Evening Gown"/>
    <n v="15"/>
    <n v="3460"/>
    <n v="20"/>
    <n v="41520"/>
    <x v="8"/>
    <n v="38060"/>
    <x v="0"/>
  </r>
  <r>
    <s v="WD0105"/>
    <d v="2024-05-21T00:00:00"/>
    <x v="4"/>
    <x v="1"/>
    <x v="1"/>
    <x v="0"/>
    <s v="Silk Scarf"/>
    <n v="12"/>
    <n v="820"/>
    <n v="15"/>
    <n v="8364"/>
    <x v="10"/>
    <n v="7544"/>
    <x v="0"/>
  </r>
  <r>
    <s v="WD0839"/>
    <d v="2024-05-21T00:00:00"/>
    <x v="4"/>
    <x v="1"/>
    <x v="3"/>
    <x v="0"/>
    <s v="Silk Scarf"/>
    <n v="4"/>
    <n v="1170"/>
    <n v="10"/>
    <n v="4212"/>
    <x v="3"/>
    <n v="3042"/>
    <x v="0"/>
  </r>
  <r>
    <s v="WD0756"/>
    <d v="2024-05-21T00:00:00"/>
    <x v="4"/>
    <x v="1"/>
    <x v="2"/>
    <x v="3"/>
    <s v="Floral Maxi Dress"/>
    <n v="12"/>
    <n v="4860"/>
    <n v="30"/>
    <n v="40824"/>
    <x v="9"/>
    <n v="35964"/>
    <x v="0"/>
  </r>
  <r>
    <s v="WD0099"/>
    <d v="2024-05-21T00:00:00"/>
    <x v="4"/>
    <x v="1"/>
    <x v="3"/>
    <x v="3"/>
    <s v="Evening Gown"/>
    <n v="10"/>
    <n v="2400"/>
    <n v="25"/>
    <n v="18000"/>
    <x v="3"/>
    <n v="15600"/>
    <x v="0"/>
  </r>
  <r>
    <s v="WD0998"/>
    <d v="2024-05-22T00:00:00"/>
    <x v="4"/>
    <x v="1"/>
    <x v="2"/>
    <x v="1"/>
    <s v="Jogger Pants"/>
    <n v="3"/>
    <n v="880"/>
    <n v="30"/>
    <n v="1848"/>
    <x v="9"/>
    <n v="968"/>
    <x v="0"/>
  </r>
  <r>
    <s v="WD0877"/>
    <d v="2024-05-22T00:00:00"/>
    <x v="4"/>
    <x v="1"/>
    <x v="3"/>
    <x v="4"/>
    <s v="Denim Jacket"/>
    <n v="2"/>
    <n v="2890"/>
    <n v="30"/>
    <n v="4046"/>
    <x v="7"/>
    <n v="1156"/>
    <x v="0"/>
  </r>
  <r>
    <s v="WD0291"/>
    <d v="2024-05-22T00:00:00"/>
    <x v="4"/>
    <x v="1"/>
    <x v="3"/>
    <x v="0"/>
    <s v="Cap"/>
    <n v="4"/>
    <n v="1950"/>
    <n v="5"/>
    <n v="7410"/>
    <x v="3"/>
    <n v="5460"/>
    <x v="0"/>
  </r>
  <r>
    <s v="WD0644"/>
    <d v="2024-05-23T00:00:00"/>
    <x v="4"/>
    <x v="1"/>
    <x v="2"/>
    <x v="4"/>
    <s v="Leather Jacket"/>
    <n v="9"/>
    <n v="3610"/>
    <n v="25"/>
    <n v="24367.5"/>
    <x v="5"/>
    <n v="20757.5"/>
    <x v="0"/>
  </r>
  <r>
    <s v="WD0474"/>
    <d v="2024-05-23T00:00:00"/>
    <x v="4"/>
    <x v="1"/>
    <x v="3"/>
    <x v="1"/>
    <s v="Slim Fit Chinos"/>
    <n v="4"/>
    <n v="1660"/>
    <n v="0"/>
    <n v="6640"/>
    <x v="6"/>
    <n v="4980"/>
    <x v="0"/>
  </r>
  <r>
    <s v="WD0933"/>
    <d v="2024-05-23T00:00:00"/>
    <x v="4"/>
    <x v="1"/>
    <x v="2"/>
    <x v="3"/>
    <s v="Casual Sundress"/>
    <n v="10"/>
    <n v="1160"/>
    <n v="0"/>
    <n v="11600"/>
    <x v="5"/>
    <n v="10440"/>
    <x v="0"/>
  </r>
  <r>
    <s v="WD0823"/>
    <d v="2024-05-24T00:00:00"/>
    <x v="4"/>
    <x v="1"/>
    <x v="3"/>
    <x v="2"/>
    <s v="Saree"/>
    <n v="4"/>
    <n v="1630"/>
    <n v="25"/>
    <n v="4890"/>
    <x v="7"/>
    <n v="3260"/>
    <x v="0"/>
  </r>
  <r>
    <s v="WD0557"/>
    <d v="2024-05-24T00:00:00"/>
    <x v="4"/>
    <x v="1"/>
    <x v="2"/>
    <x v="4"/>
    <s v="Denim Jacket"/>
    <n v="10"/>
    <n v="5580"/>
    <n v="0"/>
    <n v="55800"/>
    <x v="5"/>
    <n v="50220"/>
    <x v="0"/>
  </r>
  <r>
    <s v="WD1000"/>
    <d v="2024-05-24T00:00:00"/>
    <x v="4"/>
    <x v="1"/>
    <x v="1"/>
    <x v="5"/>
    <s v="Classic White Shirt"/>
    <n v="12"/>
    <n v="1600"/>
    <n v="5"/>
    <n v="18240"/>
    <x v="4"/>
    <n v="16640"/>
    <x v="0"/>
  </r>
  <r>
    <s v="WD0626"/>
    <d v="2024-05-25T00:00:00"/>
    <x v="4"/>
    <x v="1"/>
    <x v="3"/>
    <x v="3"/>
    <s v="Casual Sundress"/>
    <n v="4"/>
    <n v="4360"/>
    <n v="0"/>
    <n v="17440"/>
    <x v="3"/>
    <n v="13080"/>
    <x v="0"/>
  </r>
  <r>
    <s v="WD0800"/>
    <d v="2024-05-26T00:00:00"/>
    <x v="4"/>
    <x v="1"/>
    <x v="2"/>
    <x v="3"/>
    <s v="Wrap Dress"/>
    <n v="5"/>
    <n v="2990"/>
    <n v="30"/>
    <n v="10465"/>
    <x v="2"/>
    <n v="7475"/>
    <x v="0"/>
  </r>
  <r>
    <s v="WD0228"/>
    <d v="2024-05-26T00:00:00"/>
    <x v="4"/>
    <x v="1"/>
    <x v="1"/>
    <x v="0"/>
    <s v="Cap"/>
    <n v="3"/>
    <n v="2440"/>
    <n v="0"/>
    <n v="7320"/>
    <x v="1"/>
    <n v="4880"/>
    <x v="0"/>
  </r>
  <r>
    <s v="WD0953"/>
    <d v="2024-05-27T00:00:00"/>
    <x v="4"/>
    <x v="1"/>
    <x v="1"/>
    <x v="1"/>
    <s v="Cargo Trousers"/>
    <n v="7"/>
    <n v="1030"/>
    <n v="5"/>
    <n v="6849.5"/>
    <x v="4"/>
    <n v="5819.5"/>
    <x v="0"/>
  </r>
  <r>
    <s v="WD0874"/>
    <d v="2024-05-28T00:00:00"/>
    <x v="4"/>
    <x v="1"/>
    <x v="3"/>
    <x v="4"/>
    <s v="Bomber Jacket"/>
    <n v="13"/>
    <n v="8720"/>
    <n v="10"/>
    <n v="102024"/>
    <x v="6"/>
    <n v="93304"/>
    <x v="0"/>
  </r>
  <r>
    <s v="WD0195"/>
    <d v="2024-05-28T00:00:00"/>
    <x v="4"/>
    <x v="1"/>
    <x v="2"/>
    <x v="3"/>
    <s v="Casual Sundress"/>
    <n v="13"/>
    <n v="4840"/>
    <n v="10"/>
    <n v="56628"/>
    <x v="2"/>
    <n v="51788"/>
    <x v="0"/>
  </r>
  <r>
    <s v="WD0978"/>
    <d v="2024-05-28T00:00:00"/>
    <x v="4"/>
    <x v="1"/>
    <x v="0"/>
    <x v="0"/>
    <s v="Silk Scarf"/>
    <n v="14"/>
    <n v="840"/>
    <n v="15"/>
    <n v="9996"/>
    <x v="0"/>
    <n v="9156"/>
    <x v="0"/>
  </r>
  <r>
    <s v="WD0617"/>
    <d v="2024-05-28T00:00:00"/>
    <x v="4"/>
    <x v="1"/>
    <x v="1"/>
    <x v="0"/>
    <s v="Leather Belt"/>
    <n v="9"/>
    <n v="1260"/>
    <n v="0"/>
    <n v="11340"/>
    <x v="10"/>
    <n v="10080"/>
    <x v="0"/>
  </r>
  <r>
    <s v="WD0255"/>
    <d v="2024-05-28T00:00:00"/>
    <x v="4"/>
    <x v="1"/>
    <x v="3"/>
    <x v="0"/>
    <s v="Cap"/>
    <n v="9"/>
    <n v="2210"/>
    <n v="20"/>
    <n v="15912"/>
    <x v="7"/>
    <n v="13702"/>
    <x v="0"/>
  </r>
  <r>
    <s v="WD0457"/>
    <d v="2024-05-29T00:00:00"/>
    <x v="4"/>
    <x v="1"/>
    <x v="1"/>
    <x v="2"/>
    <s v="Kurta Set"/>
    <n v="3"/>
    <n v="6500"/>
    <n v="5"/>
    <n v="18525"/>
    <x v="1"/>
    <n v="12025"/>
    <x v="0"/>
  </r>
  <r>
    <s v="WD0500"/>
    <d v="2024-05-29T00:00:00"/>
    <x v="4"/>
    <x v="1"/>
    <x v="0"/>
    <x v="1"/>
    <s v="Slim Fit Chinos"/>
    <n v="3"/>
    <n v="870"/>
    <n v="25"/>
    <n v="1957.5"/>
    <x v="11"/>
    <n v="1087.5"/>
    <x v="0"/>
  </r>
  <r>
    <s v="WD0485"/>
    <d v="2024-05-30T00:00:00"/>
    <x v="4"/>
    <x v="1"/>
    <x v="3"/>
    <x v="1"/>
    <s v="Formal Black Trousers"/>
    <n v="12"/>
    <n v="1820"/>
    <n v="25"/>
    <n v="16380"/>
    <x v="6"/>
    <n v="14560"/>
    <x v="0"/>
  </r>
  <r>
    <s v="WD0493"/>
    <d v="2024-05-30T00:00:00"/>
    <x v="4"/>
    <x v="1"/>
    <x v="2"/>
    <x v="1"/>
    <s v="Cargo Trousers"/>
    <n v="14"/>
    <n v="1000"/>
    <n v="0"/>
    <n v="14000"/>
    <x v="5"/>
    <n v="13000"/>
    <x v="0"/>
  </r>
  <r>
    <s v="WD0157"/>
    <d v="2024-05-31T00:00:00"/>
    <x v="4"/>
    <x v="1"/>
    <x v="3"/>
    <x v="1"/>
    <s v="Jogger Pants"/>
    <n v="8"/>
    <n v="3270"/>
    <n v="30"/>
    <n v="18312"/>
    <x v="3"/>
    <n v="15042"/>
    <x v="0"/>
  </r>
  <r>
    <s v="WD0330"/>
    <d v="2024-06-02T00:00:00"/>
    <x v="5"/>
    <x v="1"/>
    <x v="0"/>
    <x v="2"/>
    <s v="Sherwani"/>
    <n v="7"/>
    <n v="9510"/>
    <n v="5"/>
    <n v="63241.5"/>
    <x v="8"/>
    <n v="53731.5"/>
    <x v="0"/>
  </r>
  <r>
    <s v="WD0980"/>
    <d v="2024-06-02T00:00:00"/>
    <x v="5"/>
    <x v="1"/>
    <x v="0"/>
    <x v="1"/>
    <s v="Slim Fit Chinos"/>
    <n v="3"/>
    <n v="2940"/>
    <n v="10"/>
    <n v="7938"/>
    <x v="0"/>
    <n v="4998"/>
    <x v="0"/>
  </r>
  <r>
    <s v="WD0282"/>
    <d v="2024-06-02T00:00:00"/>
    <x v="5"/>
    <x v="1"/>
    <x v="3"/>
    <x v="1"/>
    <s v="Cargo Trousers"/>
    <n v="12"/>
    <n v="3470"/>
    <n v="30"/>
    <n v="29148"/>
    <x v="3"/>
    <n v="25678"/>
    <x v="0"/>
  </r>
  <r>
    <s v="WD0755"/>
    <d v="2024-06-02T00:00:00"/>
    <x v="5"/>
    <x v="1"/>
    <x v="1"/>
    <x v="2"/>
    <s v="Saree"/>
    <n v="5"/>
    <n v="12920"/>
    <n v="0"/>
    <n v="64600"/>
    <x v="4"/>
    <n v="51680"/>
    <x v="0"/>
  </r>
  <r>
    <s v="WD0815"/>
    <d v="2024-06-02T00:00:00"/>
    <x v="5"/>
    <x v="1"/>
    <x v="2"/>
    <x v="4"/>
    <s v="Bomber Jacket"/>
    <n v="2"/>
    <n v="8520"/>
    <n v="30"/>
    <n v="11928"/>
    <x v="2"/>
    <n v="3408"/>
    <x v="0"/>
  </r>
  <r>
    <s v="WD0230"/>
    <d v="2024-06-03T00:00:00"/>
    <x v="5"/>
    <x v="1"/>
    <x v="2"/>
    <x v="1"/>
    <s v="Cargo Trousers"/>
    <n v="5"/>
    <n v="1100"/>
    <n v="5"/>
    <n v="5225"/>
    <x v="5"/>
    <n v="4125"/>
    <x v="0"/>
  </r>
  <r>
    <s v="WD0964"/>
    <d v="2024-06-03T00:00:00"/>
    <x v="5"/>
    <x v="1"/>
    <x v="2"/>
    <x v="3"/>
    <s v="Wrap Dress"/>
    <n v="3"/>
    <n v="3700"/>
    <n v="20"/>
    <n v="8880"/>
    <x v="5"/>
    <n v="5180"/>
    <x v="0"/>
  </r>
  <r>
    <s v="WD0106"/>
    <d v="2024-06-03T00:00:00"/>
    <x v="5"/>
    <x v="1"/>
    <x v="3"/>
    <x v="5"/>
    <s v="Casual Polo"/>
    <n v="6"/>
    <n v="1160"/>
    <n v="5"/>
    <n v="6612"/>
    <x v="6"/>
    <n v="5452"/>
    <x v="0"/>
  </r>
  <r>
    <s v="WD0149"/>
    <d v="2024-06-03T00:00:00"/>
    <x v="5"/>
    <x v="1"/>
    <x v="3"/>
    <x v="0"/>
    <s v="Handbag"/>
    <n v="8"/>
    <n v="2160"/>
    <n v="30"/>
    <n v="12096"/>
    <x v="6"/>
    <n v="9936"/>
    <x v="0"/>
  </r>
  <r>
    <s v="WD0883"/>
    <d v="2024-06-03T00:00:00"/>
    <x v="5"/>
    <x v="1"/>
    <x v="3"/>
    <x v="5"/>
    <s v="Classic White Shirt"/>
    <n v="7"/>
    <n v="920"/>
    <n v="15"/>
    <n v="5474"/>
    <x v="7"/>
    <n v="4554"/>
    <x v="0"/>
  </r>
  <r>
    <s v="WD0045"/>
    <d v="2024-06-03T00:00:00"/>
    <x v="5"/>
    <x v="1"/>
    <x v="3"/>
    <x v="3"/>
    <s v="Casual Sundress"/>
    <n v="9"/>
    <n v="3190"/>
    <n v="25"/>
    <n v="21532.5"/>
    <x v="3"/>
    <n v="18342.5"/>
    <x v="0"/>
  </r>
  <r>
    <s v="WD0162"/>
    <d v="2024-06-03T00:00:00"/>
    <x v="5"/>
    <x v="1"/>
    <x v="2"/>
    <x v="0"/>
    <s v="Leather Belt"/>
    <n v="8"/>
    <n v="2010"/>
    <n v="25"/>
    <n v="12060"/>
    <x v="9"/>
    <n v="10050"/>
    <x v="0"/>
  </r>
  <r>
    <s v="WD0335"/>
    <d v="2024-06-04T00:00:00"/>
    <x v="5"/>
    <x v="1"/>
    <x v="2"/>
    <x v="2"/>
    <s v="Saree"/>
    <n v="14"/>
    <n v="7010"/>
    <n v="10"/>
    <n v="88326"/>
    <x v="5"/>
    <n v="81316"/>
    <x v="0"/>
  </r>
  <r>
    <s v="WD0066"/>
    <d v="2024-06-04T00:00:00"/>
    <x v="5"/>
    <x v="1"/>
    <x v="2"/>
    <x v="2"/>
    <s v="Sherwani"/>
    <n v="14"/>
    <n v="6170"/>
    <n v="0"/>
    <n v="86380"/>
    <x v="2"/>
    <n v="80210"/>
    <x v="0"/>
  </r>
  <r>
    <s v="WD0110"/>
    <d v="2024-06-04T00:00:00"/>
    <x v="5"/>
    <x v="1"/>
    <x v="0"/>
    <x v="5"/>
    <s v="Classic White Shirt"/>
    <n v="13"/>
    <n v="890"/>
    <n v="20"/>
    <n v="9256"/>
    <x v="11"/>
    <n v="8366"/>
    <x v="0"/>
  </r>
  <r>
    <s v="WD0548"/>
    <d v="2024-06-05T00:00:00"/>
    <x v="5"/>
    <x v="1"/>
    <x v="3"/>
    <x v="3"/>
    <s v="Casual Sundress"/>
    <n v="9"/>
    <n v="1510"/>
    <n v="20"/>
    <n v="10872"/>
    <x v="6"/>
    <n v="9362"/>
    <x v="0"/>
  </r>
  <r>
    <s v="WD0958"/>
    <d v="2024-06-05T00:00:00"/>
    <x v="5"/>
    <x v="1"/>
    <x v="0"/>
    <x v="4"/>
    <s v="Bomber Jacket"/>
    <n v="15"/>
    <n v="5970"/>
    <n v="30"/>
    <n v="62685"/>
    <x v="11"/>
    <n v="56715"/>
    <x v="0"/>
  </r>
  <r>
    <s v="WD0112"/>
    <d v="2024-06-05T00:00:00"/>
    <x v="5"/>
    <x v="1"/>
    <x v="0"/>
    <x v="4"/>
    <s v="Blazer"/>
    <n v="10"/>
    <n v="4080"/>
    <n v="15"/>
    <n v="34680"/>
    <x v="0"/>
    <n v="30600"/>
    <x v="0"/>
  </r>
  <r>
    <s v="WD0245"/>
    <d v="2024-06-05T00:00:00"/>
    <x v="5"/>
    <x v="1"/>
    <x v="3"/>
    <x v="3"/>
    <s v="Floral Maxi Dress"/>
    <n v="11"/>
    <n v="1400"/>
    <n v="10"/>
    <n v="13860"/>
    <x v="7"/>
    <n v="12460"/>
    <x v="0"/>
  </r>
  <r>
    <s v="WD0022"/>
    <d v="2024-06-06T00:00:00"/>
    <x v="5"/>
    <x v="1"/>
    <x v="3"/>
    <x v="4"/>
    <s v="Denim Jacket"/>
    <n v="6"/>
    <n v="2780"/>
    <n v="30"/>
    <n v="11676"/>
    <x v="6"/>
    <n v="8896"/>
    <x v="0"/>
  </r>
  <r>
    <s v="WD0663"/>
    <d v="2024-06-06T00:00:00"/>
    <x v="5"/>
    <x v="1"/>
    <x v="0"/>
    <x v="1"/>
    <s v="Jogger Pants"/>
    <n v="8"/>
    <n v="2310"/>
    <n v="10"/>
    <n v="16632"/>
    <x v="0"/>
    <n v="14322"/>
    <x v="0"/>
  </r>
  <r>
    <s v="WD0460"/>
    <d v="2024-06-06T00:00:00"/>
    <x v="5"/>
    <x v="1"/>
    <x v="0"/>
    <x v="5"/>
    <s v="Formal Blue Shirt"/>
    <n v="4"/>
    <n v="2430"/>
    <n v="15"/>
    <n v="8262"/>
    <x v="8"/>
    <n v="5832"/>
    <x v="0"/>
  </r>
  <r>
    <s v="WD0453"/>
    <d v="2024-06-06T00:00:00"/>
    <x v="5"/>
    <x v="1"/>
    <x v="1"/>
    <x v="3"/>
    <s v="Floral Maxi Dress"/>
    <n v="7"/>
    <n v="4790"/>
    <n v="30"/>
    <n v="23471"/>
    <x v="4"/>
    <n v="18681"/>
    <x v="0"/>
  </r>
  <r>
    <s v="WD0538"/>
    <d v="2024-06-06T00:00:00"/>
    <x v="5"/>
    <x v="1"/>
    <x v="3"/>
    <x v="0"/>
    <s v="Leather Belt"/>
    <n v="4"/>
    <n v="900"/>
    <n v="25"/>
    <n v="2700"/>
    <x v="7"/>
    <n v="1800"/>
    <x v="0"/>
  </r>
  <r>
    <s v="WD0912"/>
    <d v="2024-06-06T00:00:00"/>
    <x v="5"/>
    <x v="1"/>
    <x v="1"/>
    <x v="1"/>
    <s v="Formal Black Trousers"/>
    <n v="11"/>
    <n v="840"/>
    <n v="0"/>
    <n v="9240"/>
    <x v="4"/>
    <n v="8400"/>
    <x v="0"/>
  </r>
  <r>
    <s v="WD0154"/>
    <d v="2024-06-07T00:00:00"/>
    <x v="5"/>
    <x v="1"/>
    <x v="2"/>
    <x v="0"/>
    <s v="Leather Belt"/>
    <n v="11"/>
    <n v="2740"/>
    <n v="0"/>
    <n v="30140"/>
    <x v="2"/>
    <n v="27400"/>
    <x v="0"/>
  </r>
  <r>
    <s v="WD0214"/>
    <d v="2024-06-07T00:00:00"/>
    <x v="5"/>
    <x v="1"/>
    <x v="3"/>
    <x v="0"/>
    <s v="Handbag"/>
    <n v="12"/>
    <n v="650"/>
    <n v="0"/>
    <n v="7800"/>
    <x v="3"/>
    <n v="7150"/>
    <x v="0"/>
  </r>
  <r>
    <s v="WD0216"/>
    <d v="2024-06-07T00:00:00"/>
    <x v="5"/>
    <x v="1"/>
    <x v="1"/>
    <x v="0"/>
    <s v="Handbag"/>
    <n v="1"/>
    <n v="1670"/>
    <n v="10"/>
    <n v="1503"/>
    <x v="4"/>
    <n v="-167"/>
    <x v="0"/>
  </r>
  <r>
    <s v="WD0708"/>
    <d v="2024-06-07T00:00:00"/>
    <x v="5"/>
    <x v="1"/>
    <x v="3"/>
    <x v="2"/>
    <s v="Saree"/>
    <n v="15"/>
    <n v="2470"/>
    <n v="15"/>
    <n v="31492.5"/>
    <x v="6"/>
    <n v="29022.5"/>
    <x v="0"/>
  </r>
  <r>
    <s v="WD0712"/>
    <d v="2024-06-07T00:00:00"/>
    <x v="5"/>
    <x v="1"/>
    <x v="0"/>
    <x v="0"/>
    <s v="Handbag"/>
    <n v="11"/>
    <n v="1710"/>
    <n v="20"/>
    <n v="15048"/>
    <x v="8"/>
    <n v="13338"/>
    <x v="0"/>
  </r>
  <r>
    <s v="WD0310"/>
    <d v="2024-06-08T00:00:00"/>
    <x v="5"/>
    <x v="1"/>
    <x v="3"/>
    <x v="1"/>
    <s v="Cargo Trousers"/>
    <n v="15"/>
    <n v="2650"/>
    <n v="25"/>
    <n v="29812.5"/>
    <x v="3"/>
    <n v="27162.5"/>
    <x v="0"/>
  </r>
  <r>
    <s v="WD0838"/>
    <d v="2024-06-08T00:00:00"/>
    <x v="5"/>
    <x v="1"/>
    <x v="0"/>
    <x v="5"/>
    <s v="Classic White Shirt"/>
    <n v="11"/>
    <n v="1590"/>
    <n v="25"/>
    <n v="13117.5"/>
    <x v="11"/>
    <n v="11527.5"/>
    <x v="0"/>
  </r>
  <r>
    <s v="WD0190"/>
    <d v="2024-06-08T00:00:00"/>
    <x v="5"/>
    <x v="1"/>
    <x v="2"/>
    <x v="4"/>
    <s v="Blazer"/>
    <n v="3"/>
    <n v="5170"/>
    <n v="10"/>
    <n v="13959"/>
    <x v="9"/>
    <n v="8789"/>
    <x v="0"/>
  </r>
  <r>
    <s v="WD0449"/>
    <d v="2024-06-08T00:00:00"/>
    <x v="5"/>
    <x v="1"/>
    <x v="1"/>
    <x v="4"/>
    <s v="Denim Jacket"/>
    <n v="14"/>
    <n v="8140"/>
    <n v="10"/>
    <n v="102564"/>
    <x v="1"/>
    <n v="94424"/>
    <x v="0"/>
  </r>
  <r>
    <s v="WD0181"/>
    <d v="2024-06-09T00:00:00"/>
    <x v="5"/>
    <x v="1"/>
    <x v="0"/>
    <x v="4"/>
    <s v="Blazer"/>
    <n v="6"/>
    <n v="7110"/>
    <n v="15"/>
    <n v="36261"/>
    <x v="0"/>
    <n v="29151"/>
    <x v="0"/>
  </r>
  <r>
    <s v="WD0589"/>
    <d v="2024-06-09T00:00:00"/>
    <x v="5"/>
    <x v="1"/>
    <x v="2"/>
    <x v="4"/>
    <s v="Bomber Jacket"/>
    <n v="9"/>
    <n v="7900"/>
    <n v="30"/>
    <n v="49770"/>
    <x v="9"/>
    <n v="41870"/>
    <x v="0"/>
  </r>
  <r>
    <s v="WD0660"/>
    <d v="2024-06-10T00:00:00"/>
    <x v="5"/>
    <x v="1"/>
    <x v="1"/>
    <x v="2"/>
    <s v="Kurta Set"/>
    <n v="4"/>
    <n v="5810"/>
    <n v="25"/>
    <n v="17430"/>
    <x v="1"/>
    <n v="11620"/>
    <x v="0"/>
  </r>
  <r>
    <s v="WD0576"/>
    <d v="2024-06-10T00:00:00"/>
    <x v="5"/>
    <x v="1"/>
    <x v="0"/>
    <x v="4"/>
    <s v="Blazer"/>
    <n v="8"/>
    <n v="2620"/>
    <n v="15"/>
    <n v="17816"/>
    <x v="11"/>
    <n v="15196"/>
    <x v="0"/>
  </r>
  <r>
    <s v="WD0615"/>
    <d v="2024-06-10T00:00:00"/>
    <x v="5"/>
    <x v="1"/>
    <x v="3"/>
    <x v="4"/>
    <s v="Blazer"/>
    <n v="7"/>
    <n v="5160"/>
    <n v="15"/>
    <n v="30702"/>
    <x v="6"/>
    <n v="25542"/>
    <x v="0"/>
  </r>
  <r>
    <s v="WD0013"/>
    <d v="2024-06-10T00:00:00"/>
    <x v="5"/>
    <x v="1"/>
    <x v="3"/>
    <x v="4"/>
    <s v="Bomber Jacket"/>
    <n v="15"/>
    <n v="2460"/>
    <n v="20"/>
    <n v="29520"/>
    <x v="6"/>
    <n v="27060"/>
    <x v="0"/>
  </r>
  <r>
    <s v="WD0963"/>
    <d v="2024-06-11T00:00:00"/>
    <x v="5"/>
    <x v="1"/>
    <x v="3"/>
    <x v="1"/>
    <s v="Formal Black Trousers"/>
    <n v="1"/>
    <n v="2320"/>
    <n v="25"/>
    <n v="1740"/>
    <x v="7"/>
    <n v="-580"/>
    <x v="0"/>
  </r>
  <r>
    <s v="WD0484"/>
    <d v="2024-06-11T00:00:00"/>
    <x v="5"/>
    <x v="1"/>
    <x v="2"/>
    <x v="0"/>
    <s v="Handbag"/>
    <n v="8"/>
    <n v="2440"/>
    <n v="25"/>
    <n v="14640"/>
    <x v="5"/>
    <n v="12200"/>
    <x v="0"/>
  </r>
  <r>
    <s v="WD0447"/>
    <d v="2024-06-12T00:00:00"/>
    <x v="5"/>
    <x v="1"/>
    <x v="0"/>
    <x v="1"/>
    <s v="Jogger Pants"/>
    <n v="15"/>
    <n v="1470"/>
    <n v="25"/>
    <n v="16537.5"/>
    <x v="8"/>
    <n v="15067.5"/>
    <x v="0"/>
  </r>
  <r>
    <s v="WD0762"/>
    <d v="2024-06-12T00:00:00"/>
    <x v="5"/>
    <x v="1"/>
    <x v="1"/>
    <x v="0"/>
    <s v="Handbag"/>
    <n v="9"/>
    <n v="450"/>
    <n v="0"/>
    <n v="4050"/>
    <x v="10"/>
    <n v="3600"/>
    <x v="0"/>
  </r>
  <r>
    <s v="WD0386"/>
    <d v="2024-06-12T00:00:00"/>
    <x v="5"/>
    <x v="1"/>
    <x v="3"/>
    <x v="4"/>
    <s v="Denim Jacket"/>
    <n v="12"/>
    <n v="5070"/>
    <n v="15"/>
    <n v="51714"/>
    <x v="6"/>
    <n v="46644"/>
    <x v="0"/>
  </r>
  <r>
    <s v="WD0269"/>
    <d v="2024-06-12T00:00:00"/>
    <x v="5"/>
    <x v="1"/>
    <x v="0"/>
    <x v="4"/>
    <s v="Leather Jacket"/>
    <n v="3"/>
    <n v="4380"/>
    <n v="10"/>
    <n v="11826"/>
    <x v="0"/>
    <n v="7446"/>
    <x v="0"/>
  </r>
  <r>
    <s v="WD0517"/>
    <d v="2024-06-13T00:00:00"/>
    <x v="5"/>
    <x v="1"/>
    <x v="2"/>
    <x v="1"/>
    <s v="Jogger Pants"/>
    <n v="8"/>
    <n v="3430"/>
    <n v="30"/>
    <n v="19208"/>
    <x v="2"/>
    <n v="15778"/>
    <x v="0"/>
  </r>
  <r>
    <s v="WD0327"/>
    <d v="2024-06-13T00:00:00"/>
    <x v="5"/>
    <x v="1"/>
    <x v="3"/>
    <x v="1"/>
    <s v="Jogger Pants"/>
    <n v="13"/>
    <n v="2360"/>
    <n v="25"/>
    <n v="23010"/>
    <x v="6"/>
    <n v="20650"/>
    <x v="0"/>
  </r>
  <r>
    <s v="WD0473"/>
    <d v="2024-06-13T00:00:00"/>
    <x v="5"/>
    <x v="1"/>
    <x v="3"/>
    <x v="4"/>
    <s v="Blazer"/>
    <n v="10"/>
    <n v="4410"/>
    <n v="20"/>
    <n v="35280"/>
    <x v="7"/>
    <n v="30870"/>
    <x v="0"/>
  </r>
  <r>
    <s v="WD0483"/>
    <d v="2024-06-14T00:00:00"/>
    <x v="5"/>
    <x v="1"/>
    <x v="3"/>
    <x v="0"/>
    <s v="Handbag"/>
    <n v="6"/>
    <n v="1880"/>
    <n v="10"/>
    <n v="10152"/>
    <x v="6"/>
    <n v="8272"/>
    <x v="0"/>
  </r>
  <r>
    <s v="WD0481"/>
    <d v="2024-06-14T00:00:00"/>
    <x v="5"/>
    <x v="1"/>
    <x v="3"/>
    <x v="0"/>
    <s v="Silk Scarf"/>
    <n v="14"/>
    <n v="2780"/>
    <n v="30"/>
    <n v="27244"/>
    <x v="6"/>
    <n v="24464"/>
    <x v="0"/>
  </r>
  <r>
    <s v="WD0591"/>
    <d v="2024-06-14T00:00:00"/>
    <x v="5"/>
    <x v="1"/>
    <x v="2"/>
    <x v="0"/>
    <s v="Silk Scarf"/>
    <n v="12"/>
    <n v="1660"/>
    <n v="25"/>
    <n v="14940"/>
    <x v="9"/>
    <n v="13280"/>
    <x v="0"/>
  </r>
  <r>
    <s v="WD0120"/>
    <d v="2024-06-14T00:00:00"/>
    <x v="5"/>
    <x v="1"/>
    <x v="0"/>
    <x v="4"/>
    <s v="Denim Jacket"/>
    <n v="15"/>
    <n v="6190"/>
    <n v="15"/>
    <n v="78922.5"/>
    <x v="0"/>
    <n v="72732.5"/>
    <x v="0"/>
  </r>
  <r>
    <s v="WD0096"/>
    <d v="2024-06-14T00:00:00"/>
    <x v="5"/>
    <x v="1"/>
    <x v="0"/>
    <x v="4"/>
    <s v="Blazer"/>
    <n v="10"/>
    <n v="7780"/>
    <n v="10"/>
    <n v="70020"/>
    <x v="11"/>
    <n v="62240"/>
    <x v="0"/>
  </r>
  <r>
    <s v="WD0848"/>
    <d v="2024-06-15T00:00:00"/>
    <x v="5"/>
    <x v="1"/>
    <x v="3"/>
    <x v="4"/>
    <s v="Leather Jacket"/>
    <n v="11"/>
    <n v="6900"/>
    <n v="10"/>
    <n v="68310"/>
    <x v="7"/>
    <n v="61410"/>
    <x v="0"/>
  </r>
  <r>
    <s v="WD0928"/>
    <d v="2024-06-15T00:00:00"/>
    <x v="5"/>
    <x v="1"/>
    <x v="1"/>
    <x v="5"/>
    <s v="Casual Polo"/>
    <n v="10"/>
    <n v="1970"/>
    <n v="20"/>
    <n v="15760"/>
    <x v="1"/>
    <n v="13790"/>
    <x v="0"/>
  </r>
  <r>
    <s v="WD0854"/>
    <d v="2024-06-15T00:00:00"/>
    <x v="5"/>
    <x v="1"/>
    <x v="1"/>
    <x v="0"/>
    <s v="Handbag"/>
    <n v="10"/>
    <n v="610"/>
    <n v="15"/>
    <n v="5185"/>
    <x v="10"/>
    <n v="4575"/>
    <x v="0"/>
  </r>
  <r>
    <s v="WD0937"/>
    <d v="2024-06-16T00:00:00"/>
    <x v="5"/>
    <x v="1"/>
    <x v="3"/>
    <x v="5"/>
    <s v="Striped Shirt"/>
    <n v="4"/>
    <n v="2000"/>
    <n v="5"/>
    <n v="7600"/>
    <x v="7"/>
    <n v="5600"/>
    <x v="0"/>
  </r>
  <r>
    <s v="WD0155"/>
    <d v="2024-06-16T00:00:00"/>
    <x v="5"/>
    <x v="1"/>
    <x v="1"/>
    <x v="2"/>
    <s v="Sherwani"/>
    <n v="2"/>
    <n v="9920"/>
    <n v="10"/>
    <n v="17856"/>
    <x v="10"/>
    <n v="7936"/>
    <x v="0"/>
  </r>
  <r>
    <s v="WD0161"/>
    <d v="2024-06-16T00:00:00"/>
    <x v="5"/>
    <x v="1"/>
    <x v="3"/>
    <x v="5"/>
    <s v="Casual Polo"/>
    <n v="10"/>
    <n v="1490"/>
    <n v="20"/>
    <n v="11920"/>
    <x v="3"/>
    <n v="10430"/>
    <x v="0"/>
  </r>
  <r>
    <s v="WD0272"/>
    <d v="2024-06-16T00:00:00"/>
    <x v="5"/>
    <x v="1"/>
    <x v="3"/>
    <x v="4"/>
    <s v="Blazer"/>
    <n v="14"/>
    <n v="3740"/>
    <n v="5"/>
    <n v="49742"/>
    <x v="3"/>
    <n v="46002"/>
    <x v="0"/>
  </r>
  <r>
    <s v="WD0314"/>
    <d v="2024-06-16T00:00:00"/>
    <x v="5"/>
    <x v="1"/>
    <x v="1"/>
    <x v="5"/>
    <s v="Casual Polo"/>
    <n v="3"/>
    <n v="1690"/>
    <n v="5"/>
    <n v="4816.5"/>
    <x v="10"/>
    <n v="3126.5"/>
    <x v="0"/>
  </r>
  <r>
    <s v="WD0064"/>
    <d v="2024-06-16T00:00:00"/>
    <x v="5"/>
    <x v="1"/>
    <x v="1"/>
    <x v="0"/>
    <s v="Cap"/>
    <n v="11"/>
    <n v="1670"/>
    <n v="15"/>
    <n v="15614.5"/>
    <x v="1"/>
    <n v="13944.5"/>
    <x v="0"/>
  </r>
  <r>
    <s v="WD0388"/>
    <d v="2024-06-18T00:00:00"/>
    <x v="5"/>
    <x v="1"/>
    <x v="2"/>
    <x v="0"/>
    <s v="Silk Scarf"/>
    <n v="9"/>
    <n v="1690"/>
    <n v="5"/>
    <n v="14449.5"/>
    <x v="9"/>
    <n v="12759.5"/>
    <x v="0"/>
  </r>
  <r>
    <s v="WD0103"/>
    <d v="2024-06-18T00:00:00"/>
    <x v="5"/>
    <x v="1"/>
    <x v="0"/>
    <x v="2"/>
    <s v="Sherwani"/>
    <n v="12"/>
    <n v="6390"/>
    <n v="20"/>
    <n v="61344"/>
    <x v="8"/>
    <n v="54954"/>
    <x v="0"/>
  </r>
  <r>
    <s v="WD0574"/>
    <d v="2024-06-18T00:00:00"/>
    <x v="5"/>
    <x v="1"/>
    <x v="0"/>
    <x v="1"/>
    <s v="Slim Fit Chinos"/>
    <n v="6"/>
    <n v="2830"/>
    <n v="5"/>
    <n v="16131"/>
    <x v="8"/>
    <n v="13301"/>
    <x v="0"/>
  </r>
  <r>
    <s v="WD0059"/>
    <d v="2024-06-18T00:00:00"/>
    <x v="5"/>
    <x v="1"/>
    <x v="3"/>
    <x v="0"/>
    <s v="Handbag"/>
    <n v="14"/>
    <n v="2130"/>
    <n v="20"/>
    <n v="23856"/>
    <x v="6"/>
    <n v="21726"/>
    <x v="0"/>
  </r>
  <r>
    <s v="WD0467"/>
    <d v="2024-06-18T00:00:00"/>
    <x v="5"/>
    <x v="1"/>
    <x v="0"/>
    <x v="1"/>
    <s v="Slim Fit Chinos"/>
    <n v="14"/>
    <n v="3240"/>
    <n v="30"/>
    <n v="31752"/>
    <x v="11"/>
    <n v="28512"/>
    <x v="0"/>
  </r>
  <r>
    <s v="WD0304"/>
    <d v="2024-06-18T00:00:00"/>
    <x v="5"/>
    <x v="1"/>
    <x v="0"/>
    <x v="1"/>
    <s v="Cargo Trousers"/>
    <n v="13"/>
    <n v="1540"/>
    <n v="0"/>
    <n v="20020"/>
    <x v="11"/>
    <n v="18480"/>
    <x v="0"/>
  </r>
  <r>
    <s v="WD0605"/>
    <d v="2024-06-18T00:00:00"/>
    <x v="5"/>
    <x v="1"/>
    <x v="0"/>
    <x v="5"/>
    <s v="Formal Blue Shirt"/>
    <n v="4"/>
    <n v="1020"/>
    <n v="25"/>
    <n v="3060"/>
    <x v="8"/>
    <n v="2040"/>
    <x v="0"/>
  </r>
  <r>
    <s v="WD0489"/>
    <d v="2024-06-20T00:00:00"/>
    <x v="5"/>
    <x v="1"/>
    <x v="2"/>
    <x v="0"/>
    <s v="Leather Belt"/>
    <n v="11"/>
    <n v="2520"/>
    <n v="25"/>
    <n v="20790"/>
    <x v="2"/>
    <n v="18270"/>
    <x v="0"/>
  </r>
  <r>
    <s v="WD0077"/>
    <d v="2024-06-20T00:00:00"/>
    <x v="5"/>
    <x v="1"/>
    <x v="3"/>
    <x v="4"/>
    <s v="Denim Jacket"/>
    <n v="4"/>
    <n v="6990"/>
    <n v="10"/>
    <n v="25164"/>
    <x v="7"/>
    <n v="18174"/>
    <x v="0"/>
  </r>
  <r>
    <s v="WD0976"/>
    <d v="2024-06-20T00:00:00"/>
    <x v="5"/>
    <x v="1"/>
    <x v="1"/>
    <x v="1"/>
    <s v="Formal Black Trousers"/>
    <n v="14"/>
    <n v="1620"/>
    <n v="20"/>
    <n v="18144"/>
    <x v="4"/>
    <n v="16524"/>
    <x v="0"/>
  </r>
  <r>
    <s v="WD0416"/>
    <d v="2024-06-21T00:00:00"/>
    <x v="5"/>
    <x v="1"/>
    <x v="0"/>
    <x v="1"/>
    <s v="Cargo Trousers"/>
    <n v="14"/>
    <n v="1520"/>
    <n v="10"/>
    <n v="19152"/>
    <x v="0"/>
    <n v="17632"/>
    <x v="0"/>
  </r>
  <r>
    <s v="WD0305"/>
    <d v="2024-06-21T00:00:00"/>
    <x v="5"/>
    <x v="1"/>
    <x v="0"/>
    <x v="0"/>
    <s v="Cap"/>
    <n v="1"/>
    <n v="2240"/>
    <n v="25"/>
    <n v="1680"/>
    <x v="8"/>
    <n v="-560"/>
    <x v="0"/>
  </r>
  <r>
    <s v="WD0085"/>
    <d v="2024-06-21T00:00:00"/>
    <x v="5"/>
    <x v="1"/>
    <x v="1"/>
    <x v="3"/>
    <s v="Wrap Dress"/>
    <n v="8"/>
    <n v="2640"/>
    <n v="10"/>
    <n v="19008"/>
    <x v="1"/>
    <n v="16368"/>
    <x v="0"/>
  </r>
  <r>
    <s v="WD0914"/>
    <d v="2024-06-21T00:00:00"/>
    <x v="5"/>
    <x v="1"/>
    <x v="0"/>
    <x v="2"/>
    <s v="Saree"/>
    <n v="4"/>
    <n v="2220"/>
    <n v="15"/>
    <n v="7548"/>
    <x v="0"/>
    <n v="5328"/>
    <x v="0"/>
  </r>
  <r>
    <s v="WD0026"/>
    <d v="2024-06-22T00:00:00"/>
    <x v="5"/>
    <x v="1"/>
    <x v="0"/>
    <x v="2"/>
    <s v="Lehenga"/>
    <n v="4"/>
    <n v="2890"/>
    <n v="0"/>
    <n v="11560"/>
    <x v="11"/>
    <n v="8670"/>
    <x v="0"/>
  </r>
  <r>
    <s v="WD0665"/>
    <d v="2024-06-22T00:00:00"/>
    <x v="5"/>
    <x v="1"/>
    <x v="2"/>
    <x v="4"/>
    <s v="Leather Jacket"/>
    <n v="9"/>
    <n v="2700"/>
    <n v="15"/>
    <n v="20655"/>
    <x v="9"/>
    <n v="17955"/>
    <x v="0"/>
  </r>
  <r>
    <s v="WD0211"/>
    <d v="2024-06-22T00:00:00"/>
    <x v="5"/>
    <x v="1"/>
    <x v="2"/>
    <x v="3"/>
    <s v="Evening Gown"/>
    <n v="7"/>
    <n v="5590"/>
    <n v="15"/>
    <n v="33260.5"/>
    <x v="9"/>
    <n v="27670.5"/>
    <x v="0"/>
  </r>
  <r>
    <s v="WD0359"/>
    <d v="2024-06-23T00:00:00"/>
    <x v="5"/>
    <x v="1"/>
    <x v="3"/>
    <x v="5"/>
    <s v="Classic White Shirt"/>
    <n v="14"/>
    <n v="1430"/>
    <n v="0"/>
    <n v="20020"/>
    <x v="3"/>
    <n v="18590"/>
    <x v="0"/>
  </r>
  <r>
    <s v="WD0989"/>
    <d v="2024-06-23T00:00:00"/>
    <x v="5"/>
    <x v="1"/>
    <x v="2"/>
    <x v="2"/>
    <s v="Sherwani"/>
    <n v="8"/>
    <n v="5790"/>
    <n v="15"/>
    <n v="39372"/>
    <x v="5"/>
    <n v="33582"/>
    <x v="0"/>
  </r>
  <r>
    <s v="WD0880"/>
    <d v="2024-06-24T00:00:00"/>
    <x v="5"/>
    <x v="1"/>
    <x v="2"/>
    <x v="4"/>
    <s v="Leather Jacket"/>
    <n v="14"/>
    <n v="7590"/>
    <n v="0"/>
    <n v="106260"/>
    <x v="5"/>
    <n v="98670"/>
    <x v="0"/>
  </r>
  <r>
    <s v="WD0047"/>
    <d v="2024-06-24T00:00:00"/>
    <x v="5"/>
    <x v="1"/>
    <x v="1"/>
    <x v="0"/>
    <s v="Silk Scarf"/>
    <n v="10"/>
    <n v="1030"/>
    <n v="5"/>
    <n v="9785"/>
    <x v="4"/>
    <n v="8755"/>
    <x v="0"/>
  </r>
  <r>
    <s v="WD0882"/>
    <d v="2024-06-25T00:00:00"/>
    <x v="5"/>
    <x v="1"/>
    <x v="0"/>
    <x v="0"/>
    <s v="Silk Scarf"/>
    <n v="12"/>
    <n v="870"/>
    <n v="30"/>
    <n v="7308"/>
    <x v="11"/>
    <n v="6438"/>
    <x v="0"/>
  </r>
  <r>
    <s v="WD0622"/>
    <d v="2024-06-25T00:00:00"/>
    <x v="5"/>
    <x v="1"/>
    <x v="1"/>
    <x v="3"/>
    <s v="Casual Sundress"/>
    <n v="15"/>
    <n v="4740"/>
    <n v="25"/>
    <n v="53325"/>
    <x v="4"/>
    <n v="48585"/>
    <x v="0"/>
  </r>
  <r>
    <s v="WD0512"/>
    <d v="2024-06-25T00:00:00"/>
    <x v="5"/>
    <x v="1"/>
    <x v="1"/>
    <x v="2"/>
    <s v="Kurta Set"/>
    <n v="14"/>
    <n v="10540"/>
    <n v="20"/>
    <n v="118048"/>
    <x v="1"/>
    <n v="107508"/>
    <x v="0"/>
  </r>
  <r>
    <s v="WD0294"/>
    <d v="2024-06-25T00:00:00"/>
    <x v="5"/>
    <x v="1"/>
    <x v="1"/>
    <x v="2"/>
    <s v="Lehenga"/>
    <n v="7"/>
    <n v="11800"/>
    <n v="30"/>
    <n v="57820"/>
    <x v="4"/>
    <n v="46020"/>
    <x v="0"/>
  </r>
  <r>
    <s v="WD0590"/>
    <d v="2024-06-25T00:00:00"/>
    <x v="5"/>
    <x v="1"/>
    <x v="2"/>
    <x v="1"/>
    <s v="Formal Black Trousers"/>
    <n v="5"/>
    <n v="2480"/>
    <n v="25"/>
    <n v="9300"/>
    <x v="9"/>
    <n v="6820"/>
    <x v="0"/>
  </r>
  <r>
    <s v="WD0488"/>
    <d v="2024-06-26T00:00:00"/>
    <x v="5"/>
    <x v="1"/>
    <x v="1"/>
    <x v="4"/>
    <s v="Leather Jacket"/>
    <n v="2"/>
    <n v="4320"/>
    <n v="5"/>
    <n v="8208"/>
    <x v="1"/>
    <n v="3888"/>
    <x v="0"/>
  </r>
  <r>
    <s v="WD0922"/>
    <d v="2024-06-27T00:00:00"/>
    <x v="5"/>
    <x v="1"/>
    <x v="0"/>
    <x v="2"/>
    <s v="Kurta Set"/>
    <n v="13"/>
    <n v="8710"/>
    <n v="10"/>
    <n v="101907"/>
    <x v="8"/>
    <n v="93197"/>
    <x v="0"/>
  </r>
  <r>
    <s v="WD0889"/>
    <d v="2024-06-28T00:00:00"/>
    <x v="5"/>
    <x v="1"/>
    <x v="1"/>
    <x v="4"/>
    <s v="Denim Jacket"/>
    <n v="11"/>
    <n v="5680"/>
    <n v="15"/>
    <n v="53108"/>
    <x v="4"/>
    <n v="47428"/>
    <x v="0"/>
  </r>
  <r>
    <s v="WD0188"/>
    <d v="2024-06-28T00:00:00"/>
    <x v="5"/>
    <x v="1"/>
    <x v="1"/>
    <x v="1"/>
    <s v="Jogger Pants"/>
    <n v="5"/>
    <n v="2700"/>
    <n v="10"/>
    <n v="12150"/>
    <x v="4"/>
    <n v="9450"/>
    <x v="0"/>
  </r>
  <r>
    <s v="WD0406"/>
    <d v="2024-06-28T00:00:00"/>
    <x v="5"/>
    <x v="1"/>
    <x v="1"/>
    <x v="1"/>
    <s v="Formal Black Trousers"/>
    <n v="10"/>
    <n v="2990"/>
    <n v="25"/>
    <n v="22425"/>
    <x v="10"/>
    <n v="19435"/>
    <x v="0"/>
  </r>
  <r>
    <s v="WD0426"/>
    <d v="2024-06-28T00:00:00"/>
    <x v="5"/>
    <x v="1"/>
    <x v="2"/>
    <x v="5"/>
    <s v="Classic White Shirt"/>
    <n v="3"/>
    <n v="1760"/>
    <n v="15"/>
    <n v="4488"/>
    <x v="9"/>
    <n v="2728"/>
    <x v="0"/>
  </r>
  <r>
    <s v="WD0246"/>
    <d v="2024-06-29T00:00:00"/>
    <x v="5"/>
    <x v="1"/>
    <x v="0"/>
    <x v="1"/>
    <s v="Cargo Trousers"/>
    <n v="1"/>
    <n v="1750"/>
    <n v="25"/>
    <n v="1312.5"/>
    <x v="0"/>
    <n v="-437.5"/>
    <x v="0"/>
  </r>
  <r>
    <s v="WD0672"/>
    <d v="2024-06-29T00:00:00"/>
    <x v="5"/>
    <x v="1"/>
    <x v="1"/>
    <x v="1"/>
    <s v="Slim Fit Chinos"/>
    <n v="13"/>
    <n v="3490"/>
    <n v="15"/>
    <n v="38564.5"/>
    <x v="10"/>
    <n v="35074.5"/>
    <x v="0"/>
  </r>
  <r>
    <s v="WD0829"/>
    <d v="2024-06-30T00:00:00"/>
    <x v="5"/>
    <x v="1"/>
    <x v="1"/>
    <x v="1"/>
    <s v="Jogger Pants"/>
    <n v="15"/>
    <n v="2960"/>
    <n v="30"/>
    <n v="31080"/>
    <x v="4"/>
    <n v="28120"/>
    <x v="0"/>
  </r>
  <r>
    <s v="WD0462"/>
    <d v="2024-07-01T00:00:00"/>
    <x v="6"/>
    <x v="2"/>
    <x v="1"/>
    <x v="1"/>
    <s v="Jogger Pants"/>
    <n v="12"/>
    <n v="1200"/>
    <n v="5"/>
    <n v="13680"/>
    <x v="1"/>
    <n v="12480"/>
    <x v="0"/>
  </r>
  <r>
    <s v="WD0568"/>
    <d v="2024-07-02T00:00:00"/>
    <x v="6"/>
    <x v="2"/>
    <x v="0"/>
    <x v="2"/>
    <s v="Lehenga"/>
    <n v="7"/>
    <n v="3580"/>
    <n v="30"/>
    <n v="17542"/>
    <x v="0"/>
    <n v="13962"/>
    <x v="0"/>
  </r>
  <r>
    <s v="WD0550"/>
    <d v="2024-07-02T00:00:00"/>
    <x v="6"/>
    <x v="2"/>
    <x v="3"/>
    <x v="4"/>
    <s v="Leather Jacket"/>
    <n v="15"/>
    <n v="4400"/>
    <n v="15"/>
    <n v="56100"/>
    <x v="6"/>
    <n v="51700"/>
    <x v="0"/>
  </r>
  <r>
    <s v="WD0932"/>
    <d v="2024-07-02T00:00:00"/>
    <x v="6"/>
    <x v="2"/>
    <x v="0"/>
    <x v="3"/>
    <s v="Casual Sundress"/>
    <n v="4"/>
    <n v="3290"/>
    <n v="25"/>
    <n v="9870"/>
    <x v="8"/>
    <n v="6580"/>
    <x v="0"/>
  </r>
  <r>
    <s v="WD0595"/>
    <d v="2024-07-02T00:00:00"/>
    <x v="6"/>
    <x v="2"/>
    <x v="2"/>
    <x v="5"/>
    <s v="Formal Blue Shirt"/>
    <n v="9"/>
    <n v="990"/>
    <n v="0"/>
    <n v="8910"/>
    <x v="2"/>
    <n v="7920"/>
    <x v="0"/>
  </r>
  <r>
    <s v="WD0985"/>
    <d v="2024-07-03T00:00:00"/>
    <x v="6"/>
    <x v="2"/>
    <x v="3"/>
    <x v="4"/>
    <s v="Leather Jacket"/>
    <n v="1"/>
    <n v="4500"/>
    <n v="10"/>
    <n v="4050"/>
    <x v="7"/>
    <n v="-450"/>
    <x v="0"/>
  </r>
  <r>
    <s v="WD0639"/>
    <d v="2024-07-03T00:00:00"/>
    <x v="6"/>
    <x v="2"/>
    <x v="3"/>
    <x v="1"/>
    <s v="Slim Fit Chinos"/>
    <n v="9"/>
    <n v="2600"/>
    <n v="30"/>
    <n v="16380"/>
    <x v="7"/>
    <n v="13780"/>
    <x v="0"/>
  </r>
  <r>
    <s v="WD0671"/>
    <d v="2024-07-03T00:00:00"/>
    <x v="6"/>
    <x v="2"/>
    <x v="2"/>
    <x v="5"/>
    <s v="Casual Polo"/>
    <n v="11"/>
    <n v="1770"/>
    <n v="0"/>
    <n v="19470"/>
    <x v="5"/>
    <n v="17700"/>
    <x v="0"/>
  </r>
  <r>
    <s v="WD0313"/>
    <d v="2024-07-04T00:00:00"/>
    <x v="6"/>
    <x v="2"/>
    <x v="2"/>
    <x v="1"/>
    <s v="Slim Fit Chinos"/>
    <n v="9"/>
    <n v="2220"/>
    <n v="25"/>
    <n v="14985"/>
    <x v="5"/>
    <n v="12765"/>
    <x v="0"/>
  </r>
  <r>
    <s v="WD0127"/>
    <d v="2024-07-04T00:00:00"/>
    <x v="6"/>
    <x v="2"/>
    <x v="1"/>
    <x v="0"/>
    <s v="Handbag"/>
    <n v="4"/>
    <n v="1410"/>
    <n v="20"/>
    <n v="4512"/>
    <x v="10"/>
    <n v="3102"/>
    <x v="0"/>
  </r>
  <r>
    <s v="WD0982"/>
    <d v="2024-07-04T00:00:00"/>
    <x v="6"/>
    <x v="2"/>
    <x v="1"/>
    <x v="5"/>
    <s v="Formal Blue Shirt"/>
    <n v="2"/>
    <n v="1540"/>
    <n v="20"/>
    <n v="2464"/>
    <x v="10"/>
    <n v="924"/>
    <x v="0"/>
  </r>
  <r>
    <s v="WD0375"/>
    <d v="2024-07-05T00:00:00"/>
    <x v="6"/>
    <x v="2"/>
    <x v="2"/>
    <x v="3"/>
    <s v="Wrap Dress"/>
    <n v="13"/>
    <n v="2400"/>
    <n v="15"/>
    <n v="26520"/>
    <x v="5"/>
    <n v="24120"/>
    <x v="0"/>
  </r>
  <r>
    <s v="WD0247"/>
    <d v="2024-07-05T00:00:00"/>
    <x v="6"/>
    <x v="2"/>
    <x v="0"/>
    <x v="3"/>
    <s v="Floral Maxi Dress"/>
    <n v="11"/>
    <n v="1370"/>
    <n v="15"/>
    <n v="12809.5"/>
    <x v="0"/>
    <n v="11439.5"/>
    <x v="0"/>
  </r>
  <r>
    <s v="WD0009"/>
    <d v="2024-07-05T00:00:00"/>
    <x v="6"/>
    <x v="2"/>
    <x v="1"/>
    <x v="1"/>
    <s v="Slim Fit Chinos"/>
    <n v="8"/>
    <n v="1830"/>
    <n v="25"/>
    <n v="10980"/>
    <x v="4"/>
    <n v="9150"/>
    <x v="0"/>
  </r>
  <r>
    <s v="WD0692"/>
    <d v="2024-07-05T00:00:00"/>
    <x v="6"/>
    <x v="2"/>
    <x v="0"/>
    <x v="4"/>
    <s v="Leather Jacket"/>
    <n v="13"/>
    <n v="4930"/>
    <n v="10"/>
    <n v="57681"/>
    <x v="8"/>
    <n v="52751"/>
    <x v="0"/>
  </r>
  <r>
    <s v="WD0482"/>
    <d v="2024-07-05T00:00:00"/>
    <x v="6"/>
    <x v="2"/>
    <x v="1"/>
    <x v="1"/>
    <s v="Formal Black Trousers"/>
    <n v="14"/>
    <n v="2890"/>
    <n v="20"/>
    <n v="32368"/>
    <x v="4"/>
    <n v="29478"/>
    <x v="0"/>
  </r>
  <r>
    <s v="WD0635"/>
    <d v="2024-07-05T00:00:00"/>
    <x v="6"/>
    <x v="2"/>
    <x v="3"/>
    <x v="1"/>
    <s v="Cargo Trousers"/>
    <n v="2"/>
    <n v="2150"/>
    <n v="15"/>
    <n v="3655"/>
    <x v="3"/>
    <n v="1505"/>
    <x v="0"/>
  </r>
  <r>
    <s v="WD0403"/>
    <d v="2024-07-06T00:00:00"/>
    <x v="6"/>
    <x v="2"/>
    <x v="1"/>
    <x v="2"/>
    <s v="Kurta Set"/>
    <n v="9"/>
    <n v="4580"/>
    <n v="30"/>
    <n v="28854"/>
    <x v="10"/>
    <n v="24274"/>
    <x v="0"/>
  </r>
  <r>
    <s v="WD0691"/>
    <d v="2024-07-06T00:00:00"/>
    <x v="6"/>
    <x v="2"/>
    <x v="3"/>
    <x v="1"/>
    <s v="Jogger Pants"/>
    <n v="10"/>
    <n v="2070"/>
    <n v="10"/>
    <n v="18630"/>
    <x v="6"/>
    <n v="16560"/>
    <x v="0"/>
  </r>
  <r>
    <s v="WD0869"/>
    <d v="2024-07-06T00:00:00"/>
    <x v="6"/>
    <x v="2"/>
    <x v="2"/>
    <x v="0"/>
    <s v="Cap"/>
    <n v="9"/>
    <n v="1410"/>
    <n v="20"/>
    <n v="10152"/>
    <x v="5"/>
    <n v="8742"/>
    <x v="0"/>
  </r>
  <r>
    <s v="WD0713"/>
    <d v="2024-07-06T00:00:00"/>
    <x v="6"/>
    <x v="2"/>
    <x v="0"/>
    <x v="2"/>
    <s v="Saree"/>
    <n v="8"/>
    <n v="10750"/>
    <n v="10"/>
    <n v="77400"/>
    <x v="8"/>
    <n v="66650"/>
    <x v="0"/>
  </r>
  <r>
    <s v="WD0257"/>
    <d v="2024-07-07T00:00:00"/>
    <x v="6"/>
    <x v="2"/>
    <x v="2"/>
    <x v="1"/>
    <s v="Cargo Trousers"/>
    <n v="9"/>
    <n v="870"/>
    <n v="20"/>
    <n v="6264"/>
    <x v="2"/>
    <n v="5394"/>
    <x v="0"/>
  </r>
  <r>
    <s v="WD0333"/>
    <d v="2024-07-08T00:00:00"/>
    <x v="6"/>
    <x v="2"/>
    <x v="2"/>
    <x v="3"/>
    <s v="Casual Sundress"/>
    <n v="2"/>
    <n v="2650"/>
    <n v="15"/>
    <n v="4505"/>
    <x v="5"/>
    <n v="1855"/>
    <x v="0"/>
  </r>
  <r>
    <s v="WD0502"/>
    <d v="2024-07-08T00:00:00"/>
    <x v="6"/>
    <x v="2"/>
    <x v="1"/>
    <x v="0"/>
    <s v="Handbag"/>
    <n v="15"/>
    <n v="800"/>
    <n v="15"/>
    <n v="10200"/>
    <x v="4"/>
    <n v="9400"/>
    <x v="0"/>
  </r>
  <r>
    <s v="WD0667"/>
    <d v="2024-07-08T00:00:00"/>
    <x v="6"/>
    <x v="2"/>
    <x v="0"/>
    <x v="2"/>
    <s v="Lehenga"/>
    <n v="5"/>
    <n v="2510"/>
    <n v="5"/>
    <n v="11922.5"/>
    <x v="11"/>
    <n v="9412.5"/>
    <x v="0"/>
  </r>
  <r>
    <s v="WD0832"/>
    <d v="2024-07-09T00:00:00"/>
    <x v="6"/>
    <x v="2"/>
    <x v="1"/>
    <x v="3"/>
    <s v="Wrap Dress"/>
    <n v="15"/>
    <n v="1430"/>
    <n v="5"/>
    <n v="20377.5"/>
    <x v="1"/>
    <n v="18947.5"/>
    <x v="0"/>
  </r>
  <r>
    <s v="WD0420"/>
    <d v="2024-07-09T00:00:00"/>
    <x v="6"/>
    <x v="2"/>
    <x v="2"/>
    <x v="3"/>
    <s v="Floral Maxi Dress"/>
    <n v="5"/>
    <n v="4270"/>
    <n v="0"/>
    <n v="21350"/>
    <x v="9"/>
    <n v="17080"/>
    <x v="0"/>
  </r>
  <r>
    <s v="WD0530"/>
    <d v="2024-07-10T00:00:00"/>
    <x v="6"/>
    <x v="2"/>
    <x v="0"/>
    <x v="2"/>
    <s v="Kurta Set"/>
    <n v="11"/>
    <n v="1580"/>
    <n v="30"/>
    <n v="12166"/>
    <x v="0"/>
    <n v="10586"/>
    <x v="0"/>
  </r>
  <r>
    <s v="WD0546"/>
    <d v="2024-07-10T00:00:00"/>
    <x v="6"/>
    <x v="2"/>
    <x v="0"/>
    <x v="4"/>
    <s v="Denim Jacket"/>
    <n v="4"/>
    <n v="2260"/>
    <n v="25"/>
    <n v="6780"/>
    <x v="11"/>
    <n v="4520"/>
    <x v="0"/>
  </r>
  <r>
    <s v="WD0641"/>
    <d v="2024-07-11T00:00:00"/>
    <x v="6"/>
    <x v="2"/>
    <x v="3"/>
    <x v="0"/>
    <s v="Cap"/>
    <n v="10"/>
    <n v="1860"/>
    <n v="5"/>
    <n v="17670"/>
    <x v="3"/>
    <n v="15810"/>
    <x v="0"/>
  </r>
  <r>
    <s v="WD0320"/>
    <d v="2024-07-11T00:00:00"/>
    <x v="6"/>
    <x v="2"/>
    <x v="0"/>
    <x v="3"/>
    <s v="Wrap Dress"/>
    <n v="15"/>
    <n v="3240"/>
    <n v="15"/>
    <n v="41310"/>
    <x v="11"/>
    <n v="38070"/>
    <x v="0"/>
  </r>
  <r>
    <s v="WD0080"/>
    <d v="2024-07-13T00:00:00"/>
    <x v="6"/>
    <x v="2"/>
    <x v="0"/>
    <x v="4"/>
    <s v="Denim Jacket"/>
    <n v="13"/>
    <n v="8000"/>
    <n v="20"/>
    <n v="83200"/>
    <x v="8"/>
    <n v="75200"/>
    <x v="0"/>
  </r>
  <r>
    <s v="WD0196"/>
    <d v="2024-07-13T00:00:00"/>
    <x v="6"/>
    <x v="2"/>
    <x v="1"/>
    <x v="5"/>
    <s v="Striped Shirt"/>
    <n v="3"/>
    <n v="2020"/>
    <n v="5"/>
    <n v="5757"/>
    <x v="10"/>
    <n v="3737"/>
    <x v="0"/>
  </r>
  <r>
    <s v="WD0337"/>
    <d v="2024-07-13T00:00:00"/>
    <x v="6"/>
    <x v="2"/>
    <x v="2"/>
    <x v="4"/>
    <s v="Leather Jacket"/>
    <n v="13"/>
    <n v="5860"/>
    <n v="10"/>
    <n v="68562"/>
    <x v="2"/>
    <n v="62702"/>
    <x v="0"/>
  </r>
  <r>
    <s v="WD0618"/>
    <d v="2024-07-14T00:00:00"/>
    <x v="6"/>
    <x v="2"/>
    <x v="3"/>
    <x v="2"/>
    <s v="Kurta Set"/>
    <n v="15"/>
    <n v="4740"/>
    <n v="15"/>
    <n v="60435"/>
    <x v="7"/>
    <n v="55695"/>
    <x v="0"/>
  </r>
  <r>
    <s v="WD0222"/>
    <d v="2024-07-14T00:00:00"/>
    <x v="6"/>
    <x v="2"/>
    <x v="3"/>
    <x v="0"/>
    <s v="Handbag"/>
    <n v="5"/>
    <n v="1550"/>
    <n v="30"/>
    <n v="5425"/>
    <x v="3"/>
    <n v="3875"/>
    <x v="0"/>
  </r>
  <r>
    <s v="WD0137"/>
    <d v="2024-07-14T00:00:00"/>
    <x v="6"/>
    <x v="2"/>
    <x v="2"/>
    <x v="4"/>
    <s v="Denim Jacket"/>
    <n v="8"/>
    <n v="4230"/>
    <n v="25"/>
    <n v="25380"/>
    <x v="2"/>
    <n v="21150"/>
    <x v="0"/>
  </r>
  <r>
    <s v="WD0760"/>
    <d v="2024-07-14T00:00:00"/>
    <x v="6"/>
    <x v="2"/>
    <x v="1"/>
    <x v="2"/>
    <s v="Sherwani"/>
    <n v="13"/>
    <n v="1930"/>
    <n v="20"/>
    <n v="20072"/>
    <x v="4"/>
    <n v="18142"/>
    <x v="0"/>
  </r>
  <r>
    <s v="WD0249"/>
    <d v="2024-07-15T00:00:00"/>
    <x v="6"/>
    <x v="2"/>
    <x v="2"/>
    <x v="5"/>
    <s v="Casual Polo"/>
    <n v="6"/>
    <n v="2080"/>
    <n v="10"/>
    <n v="11232"/>
    <x v="9"/>
    <n v="9152"/>
    <x v="0"/>
  </r>
  <r>
    <s v="WD0428"/>
    <d v="2024-07-15T00:00:00"/>
    <x v="6"/>
    <x v="2"/>
    <x v="1"/>
    <x v="5"/>
    <s v="Casual Polo"/>
    <n v="10"/>
    <n v="2030"/>
    <n v="25"/>
    <n v="15225"/>
    <x v="1"/>
    <n v="13195"/>
    <x v="0"/>
  </r>
  <r>
    <s v="WD0399"/>
    <d v="2024-07-15T00:00:00"/>
    <x v="6"/>
    <x v="2"/>
    <x v="1"/>
    <x v="3"/>
    <s v="Floral Maxi Dress"/>
    <n v="4"/>
    <n v="3420"/>
    <n v="30"/>
    <n v="9576"/>
    <x v="10"/>
    <n v="6156"/>
    <x v="0"/>
  </r>
  <r>
    <s v="WD0863"/>
    <d v="2024-07-15T00:00:00"/>
    <x v="6"/>
    <x v="2"/>
    <x v="2"/>
    <x v="0"/>
    <s v="Silk Scarf"/>
    <n v="4"/>
    <n v="1580"/>
    <n v="20"/>
    <n v="5056"/>
    <x v="2"/>
    <n v="3476"/>
    <x v="0"/>
  </r>
  <r>
    <s v="WD0881"/>
    <d v="2024-07-15T00:00:00"/>
    <x v="6"/>
    <x v="2"/>
    <x v="2"/>
    <x v="2"/>
    <s v="Saree"/>
    <n v="13"/>
    <n v="11130"/>
    <n v="15"/>
    <n v="122986.5"/>
    <x v="5"/>
    <n v="111856.5"/>
    <x v="0"/>
  </r>
  <r>
    <s v="WD0608"/>
    <d v="2024-07-16T00:00:00"/>
    <x v="6"/>
    <x v="2"/>
    <x v="2"/>
    <x v="5"/>
    <s v="Formal Blue Shirt"/>
    <n v="13"/>
    <n v="1320"/>
    <n v="0"/>
    <n v="17160"/>
    <x v="2"/>
    <n v="15840"/>
    <x v="0"/>
  </r>
  <r>
    <s v="WD0061"/>
    <d v="2024-07-16T00:00:00"/>
    <x v="6"/>
    <x v="2"/>
    <x v="0"/>
    <x v="3"/>
    <s v="Evening Gown"/>
    <n v="9"/>
    <n v="3180"/>
    <n v="0"/>
    <n v="28620"/>
    <x v="0"/>
    <n v="25440"/>
    <x v="0"/>
  </r>
  <r>
    <s v="WD0366"/>
    <d v="2024-07-16T00:00:00"/>
    <x v="6"/>
    <x v="2"/>
    <x v="1"/>
    <x v="3"/>
    <s v="Floral Maxi Dress"/>
    <n v="13"/>
    <n v="3980"/>
    <n v="10"/>
    <n v="46566"/>
    <x v="4"/>
    <n v="42586"/>
    <x v="0"/>
  </r>
  <r>
    <s v="WD0743"/>
    <d v="2024-07-17T00:00:00"/>
    <x v="6"/>
    <x v="2"/>
    <x v="1"/>
    <x v="4"/>
    <s v="Leather Jacket"/>
    <n v="10"/>
    <n v="2690"/>
    <n v="25"/>
    <n v="20175"/>
    <x v="10"/>
    <n v="17485"/>
    <x v="0"/>
  </r>
  <r>
    <s v="WD0777"/>
    <d v="2024-07-17T00:00:00"/>
    <x v="6"/>
    <x v="2"/>
    <x v="3"/>
    <x v="5"/>
    <s v="Striped Shirt"/>
    <n v="1"/>
    <n v="1840"/>
    <n v="0"/>
    <n v="1840"/>
    <x v="3"/>
    <n v="0"/>
    <x v="0"/>
  </r>
  <r>
    <s v="WD0476"/>
    <d v="2024-07-17T00:00:00"/>
    <x v="6"/>
    <x v="2"/>
    <x v="2"/>
    <x v="3"/>
    <s v="Floral Maxi Dress"/>
    <n v="4"/>
    <n v="4820"/>
    <n v="20"/>
    <n v="15424"/>
    <x v="2"/>
    <n v="10604"/>
    <x v="0"/>
  </r>
  <r>
    <s v="WD0740"/>
    <d v="2024-07-17T00:00:00"/>
    <x v="6"/>
    <x v="2"/>
    <x v="2"/>
    <x v="3"/>
    <s v="Floral Maxi Dress"/>
    <n v="9"/>
    <n v="4290"/>
    <n v="30"/>
    <n v="27027"/>
    <x v="5"/>
    <n v="22737"/>
    <x v="0"/>
  </r>
  <r>
    <s v="WD0357"/>
    <d v="2024-07-18T00:00:00"/>
    <x v="6"/>
    <x v="2"/>
    <x v="0"/>
    <x v="5"/>
    <s v="Formal Blue Shirt"/>
    <n v="4"/>
    <n v="910"/>
    <n v="20"/>
    <n v="2912"/>
    <x v="0"/>
    <n v="2002"/>
    <x v="0"/>
  </r>
  <r>
    <s v="WD0727"/>
    <d v="2024-07-18T00:00:00"/>
    <x v="6"/>
    <x v="2"/>
    <x v="0"/>
    <x v="0"/>
    <s v="Leather Belt"/>
    <n v="4"/>
    <n v="1710"/>
    <n v="15"/>
    <n v="5814"/>
    <x v="0"/>
    <n v="4104"/>
    <x v="0"/>
  </r>
  <r>
    <s v="WD0082"/>
    <d v="2024-07-18T00:00:00"/>
    <x v="6"/>
    <x v="2"/>
    <x v="2"/>
    <x v="4"/>
    <s v="Leather Jacket"/>
    <n v="8"/>
    <n v="3910"/>
    <n v="0"/>
    <n v="31280"/>
    <x v="2"/>
    <n v="27370"/>
    <x v="0"/>
  </r>
  <r>
    <s v="WD0619"/>
    <d v="2024-07-19T00:00:00"/>
    <x v="6"/>
    <x v="2"/>
    <x v="1"/>
    <x v="4"/>
    <s v="Leather Jacket"/>
    <n v="3"/>
    <n v="5730"/>
    <n v="25"/>
    <n v="12892.5"/>
    <x v="10"/>
    <n v="7162.5"/>
    <x v="0"/>
  </r>
  <r>
    <s v="WD0583"/>
    <d v="2024-07-20T00:00:00"/>
    <x v="6"/>
    <x v="2"/>
    <x v="0"/>
    <x v="5"/>
    <s v="Formal Blue Shirt"/>
    <n v="4"/>
    <n v="1760"/>
    <n v="0"/>
    <n v="7040"/>
    <x v="11"/>
    <n v="5280"/>
    <x v="0"/>
  </r>
  <r>
    <s v="WD0763"/>
    <d v="2024-07-20T00:00:00"/>
    <x v="6"/>
    <x v="2"/>
    <x v="2"/>
    <x v="3"/>
    <s v="Casual Sundress"/>
    <n v="11"/>
    <n v="1760"/>
    <n v="25"/>
    <n v="14520"/>
    <x v="2"/>
    <n v="12760"/>
    <x v="0"/>
  </r>
  <r>
    <s v="WD0226"/>
    <d v="2024-07-21T00:00:00"/>
    <x v="6"/>
    <x v="2"/>
    <x v="2"/>
    <x v="4"/>
    <s v="Bomber Jacket"/>
    <n v="7"/>
    <n v="8510"/>
    <n v="0"/>
    <n v="59570"/>
    <x v="9"/>
    <n v="51060"/>
    <x v="0"/>
  </r>
  <r>
    <s v="WD0468"/>
    <d v="2024-07-21T00:00:00"/>
    <x v="6"/>
    <x v="2"/>
    <x v="1"/>
    <x v="4"/>
    <s v="Denim Jacket"/>
    <n v="10"/>
    <n v="3170"/>
    <n v="15"/>
    <n v="26945"/>
    <x v="1"/>
    <n v="23775"/>
    <x v="0"/>
  </r>
  <r>
    <s v="WD0415"/>
    <d v="2024-07-22T00:00:00"/>
    <x v="6"/>
    <x v="2"/>
    <x v="0"/>
    <x v="0"/>
    <s v="Cap"/>
    <n v="13"/>
    <n v="2590"/>
    <n v="20"/>
    <n v="26936"/>
    <x v="11"/>
    <n v="24346"/>
    <x v="0"/>
  </r>
  <r>
    <s v="WD0071"/>
    <d v="2024-07-23T00:00:00"/>
    <x v="6"/>
    <x v="2"/>
    <x v="0"/>
    <x v="0"/>
    <s v="Silk Scarf"/>
    <n v="7"/>
    <n v="2240"/>
    <n v="15"/>
    <n v="13328"/>
    <x v="11"/>
    <n v="11088"/>
    <x v="0"/>
  </r>
  <r>
    <s v="WD0765"/>
    <d v="2024-07-23T00:00:00"/>
    <x v="6"/>
    <x v="2"/>
    <x v="1"/>
    <x v="4"/>
    <s v="Denim Jacket"/>
    <n v="5"/>
    <n v="5840"/>
    <n v="0"/>
    <n v="29200"/>
    <x v="10"/>
    <n v="23360"/>
    <x v="0"/>
  </r>
  <r>
    <s v="WD0758"/>
    <d v="2024-07-23T00:00:00"/>
    <x v="6"/>
    <x v="2"/>
    <x v="2"/>
    <x v="1"/>
    <s v="Jogger Pants"/>
    <n v="2"/>
    <n v="2990"/>
    <n v="20"/>
    <n v="4784"/>
    <x v="9"/>
    <n v="1794"/>
    <x v="0"/>
  </r>
  <r>
    <s v="WD0176"/>
    <d v="2024-07-24T00:00:00"/>
    <x v="6"/>
    <x v="2"/>
    <x v="3"/>
    <x v="4"/>
    <s v="Denim Jacket"/>
    <n v="8"/>
    <n v="2420"/>
    <n v="30"/>
    <n v="13552"/>
    <x v="7"/>
    <n v="11132"/>
    <x v="0"/>
  </r>
  <r>
    <s v="WD0035"/>
    <d v="2024-07-24T00:00:00"/>
    <x v="6"/>
    <x v="2"/>
    <x v="2"/>
    <x v="1"/>
    <s v="Cargo Trousers"/>
    <n v="4"/>
    <n v="2110"/>
    <n v="30"/>
    <n v="5908"/>
    <x v="5"/>
    <n v="3798"/>
    <x v="0"/>
  </r>
  <r>
    <s v="WD0545"/>
    <d v="2024-07-25T00:00:00"/>
    <x v="6"/>
    <x v="2"/>
    <x v="0"/>
    <x v="5"/>
    <s v="Casual Polo"/>
    <n v="11"/>
    <n v="1770"/>
    <n v="15"/>
    <n v="16549.5"/>
    <x v="8"/>
    <n v="14779.5"/>
    <x v="0"/>
  </r>
  <r>
    <s v="WD0126"/>
    <d v="2024-07-25T00:00:00"/>
    <x v="6"/>
    <x v="2"/>
    <x v="0"/>
    <x v="5"/>
    <s v="Formal Blue Shirt"/>
    <n v="2"/>
    <n v="1080"/>
    <n v="30"/>
    <n v="1512"/>
    <x v="0"/>
    <n v="432"/>
    <x v="0"/>
  </r>
  <r>
    <s v="WD0350"/>
    <d v="2024-07-26T00:00:00"/>
    <x v="6"/>
    <x v="2"/>
    <x v="3"/>
    <x v="3"/>
    <s v="Evening Gown"/>
    <n v="2"/>
    <n v="4970"/>
    <n v="10"/>
    <n v="8946"/>
    <x v="7"/>
    <n v="3976"/>
    <x v="0"/>
  </r>
  <r>
    <s v="WD0909"/>
    <d v="2024-07-26T00:00:00"/>
    <x v="6"/>
    <x v="2"/>
    <x v="1"/>
    <x v="3"/>
    <s v="Floral Maxi Dress"/>
    <n v="12"/>
    <n v="2690"/>
    <n v="0"/>
    <n v="32280"/>
    <x v="4"/>
    <n v="29590"/>
    <x v="0"/>
  </r>
  <r>
    <s v="WD0943"/>
    <d v="2024-07-26T00:00:00"/>
    <x v="6"/>
    <x v="2"/>
    <x v="1"/>
    <x v="4"/>
    <s v="Blazer"/>
    <n v="14"/>
    <n v="7400"/>
    <n v="25"/>
    <n v="77700"/>
    <x v="4"/>
    <n v="70300"/>
    <x v="0"/>
  </r>
  <r>
    <s v="WD0463"/>
    <d v="2024-07-26T00:00:00"/>
    <x v="6"/>
    <x v="2"/>
    <x v="1"/>
    <x v="0"/>
    <s v="Cap"/>
    <n v="3"/>
    <n v="1000"/>
    <n v="0"/>
    <n v="3000"/>
    <x v="1"/>
    <n v="2000"/>
    <x v="0"/>
  </r>
  <r>
    <s v="WD0518"/>
    <d v="2024-07-27T00:00:00"/>
    <x v="6"/>
    <x v="2"/>
    <x v="0"/>
    <x v="2"/>
    <s v="Kurta Set"/>
    <n v="4"/>
    <n v="3660"/>
    <n v="30"/>
    <n v="10248"/>
    <x v="0"/>
    <n v="6588"/>
    <x v="0"/>
  </r>
  <r>
    <s v="WD0675"/>
    <d v="2024-07-27T00:00:00"/>
    <x v="6"/>
    <x v="2"/>
    <x v="2"/>
    <x v="4"/>
    <s v="Blazer"/>
    <n v="5"/>
    <n v="6020"/>
    <n v="5"/>
    <n v="28595"/>
    <x v="9"/>
    <n v="22575"/>
    <x v="0"/>
  </r>
  <r>
    <s v="WD0377"/>
    <d v="2024-07-28T00:00:00"/>
    <x v="6"/>
    <x v="2"/>
    <x v="2"/>
    <x v="4"/>
    <s v="Bomber Jacket"/>
    <n v="2"/>
    <n v="7820"/>
    <n v="30"/>
    <n v="10948"/>
    <x v="9"/>
    <n v="3128"/>
    <x v="0"/>
  </r>
  <r>
    <s v="WD0347"/>
    <d v="2024-07-29T00:00:00"/>
    <x v="6"/>
    <x v="2"/>
    <x v="0"/>
    <x v="0"/>
    <s v="Handbag"/>
    <n v="9"/>
    <n v="340"/>
    <n v="20"/>
    <n v="2448"/>
    <x v="11"/>
    <n v="2108"/>
    <x v="0"/>
  </r>
  <r>
    <s v="WD0288"/>
    <d v="2024-07-29T00:00:00"/>
    <x v="6"/>
    <x v="2"/>
    <x v="0"/>
    <x v="3"/>
    <s v="Wrap Dress"/>
    <n v="12"/>
    <n v="1760"/>
    <n v="5"/>
    <n v="20064"/>
    <x v="0"/>
    <n v="18304"/>
    <x v="0"/>
  </r>
  <r>
    <s v="WD0789"/>
    <d v="2024-07-29T00:00:00"/>
    <x v="6"/>
    <x v="2"/>
    <x v="3"/>
    <x v="1"/>
    <s v="Slim Fit Chinos"/>
    <n v="15"/>
    <n v="2870"/>
    <n v="15"/>
    <n v="36592.5"/>
    <x v="7"/>
    <n v="33722.5"/>
    <x v="0"/>
  </r>
  <r>
    <s v="WD0569"/>
    <d v="2024-07-29T00:00:00"/>
    <x v="6"/>
    <x v="2"/>
    <x v="1"/>
    <x v="0"/>
    <s v="Silk Scarf"/>
    <n v="8"/>
    <n v="1600"/>
    <n v="0"/>
    <n v="12800"/>
    <x v="1"/>
    <n v="11200"/>
    <x v="0"/>
  </r>
  <r>
    <s v="WD0054"/>
    <d v="2024-07-30T00:00:00"/>
    <x v="6"/>
    <x v="2"/>
    <x v="2"/>
    <x v="1"/>
    <s v="Formal Black Trousers"/>
    <n v="13"/>
    <n v="3430"/>
    <n v="5"/>
    <n v="42360.5"/>
    <x v="5"/>
    <n v="38930.5"/>
    <x v="0"/>
  </r>
  <r>
    <s v="WD0491"/>
    <d v="2024-07-30T00:00:00"/>
    <x v="6"/>
    <x v="2"/>
    <x v="1"/>
    <x v="5"/>
    <s v="Striped Shirt"/>
    <n v="7"/>
    <n v="1430"/>
    <n v="5"/>
    <n v="9509.5"/>
    <x v="1"/>
    <n v="8079.5"/>
    <x v="0"/>
  </r>
  <r>
    <s v="WD0180"/>
    <d v="2024-07-30T00:00:00"/>
    <x v="6"/>
    <x v="2"/>
    <x v="1"/>
    <x v="0"/>
    <s v="Silk Scarf"/>
    <n v="15"/>
    <n v="1460"/>
    <n v="5"/>
    <n v="20805"/>
    <x v="1"/>
    <n v="19345"/>
    <x v="0"/>
  </r>
  <r>
    <s v="WD0977"/>
    <d v="2024-07-31T00:00:00"/>
    <x v="6"/>
    <x v="2"/>
    <x v="0"/>
    <x v="5"/>
    <s v="Classic White Shirt"/>
    <n v="15"/>
    <n v="1380"/>
    <n v="10"/>
    <n v="18630"/>
    <x v="11"/>
    <n v="17250"/>
    <x v="0"/>
  </r>
  <r>
    <s v="WD0133"/>
    <d v="2024-07-31T00:00:00"/>
    <x v="6"/>
    <x v="2"/>
    <x v="0"/>
    <x v="1"/>
    <s v="Formal Black Trousers"/>
    <n v="5"/>
    <n v="3130"/>
    <n v="30"/>
    <n v="10955"/>
    <x v="8"/>
    <n v="7825"/>
    <x v="0"/>
  </r>
  <r>
    <s v="WD0592"/>
    <d v="2024-08-01T00:00:00"/>
    <x v="7"/>
    <x v="2"/>
    <x v="1"/>
    <x v="3"/>
    <s v="Wrap Dress"/>
    <n v="11"/>
    <n v="3910"/>
    <n v="25"/>
    <n v="32257.5"/>
    <x v="10"/>
    <n v="28347.5"/>
    <x v="0"/>
  </r>
  <r>
    <s v="WD0919"/>
    <d v="2024-08-01T00:00:00"/>
    <x v="7"/>
    <x v="2"/>
    <x v="1"/>
    <x v="1"/>
    <s v="Slim Fit Chinos"/>
    <n v="10"/>
    <n v="2710"/>
    <n v="10"/>
    <n v="24390"/>
    <x v="10"/>
    <n v="21680"/>
    <x v="0"/>
  </r>
  <r>
    <s v="WD0266"/>
    <d v="2024-08-01T00:00:00"/>
    <x v="7"/>
    <x v="2"/>
    <x v="1"/>
    <x v="0"/>
    <s v="Cap"/>
    <n v="13"/>
    <n v="2060"/>
    <n v="20"/>
    <n v="21424"/>
    <x v="10"/>
    <n v="19364"/>
    <x v="0"/>
  </r>
  <r>
    <s v="WD0340"/>
    <d v="2024-08-01T00:00:00"/>
    <x v="7"/>
    <x v="2"/>
    <x v="2"/>
    <x v="5"/>
    <s v="Formal Blue Shirt"/>
    <n v="10"/>
    <n v="1650"/>
    <n v="20"/>
    <n v="13200"/>
    <x v="2"/>
    <n v="11550"/>
    <x v="0"/>
  </r>
  <r>
    <s v="WD0938"/>
    <d v="2024-08-01T00:00:00"/>
    <x v="7"/>
    <x v="2"/>
    <x v="2"/>
    <x v="2"/>
    <s v="Saree"/>
    <n v="15"/>
    <n v="12010"/>
    <n v="0"/>
    <n v="180150"/>
    <x v="5"/>
    <n v="168140"/>
    <x v="0"/>
  </r>
  <r>
    <s v="WD0505"/>
    <d v="2024-08-02T00:00:00"/>
    <x v="7"/>
    <x v="2"/>
    <x v="2"/>
    <x v="2"/>
    <s v="Kurta Set"/>
    <n v="14"/>
    <n v="11170"/>
    <n v="20"/>
    <n v="125104"/>
    <x v="9"/>
    <n v="113934"/>
    <x v="0"/>
  </r>
  <r>
    <s v="WD0807"/>
    <d v="2024-08-02T00:00:00"/>
    <x v="7"/>
    <x v="2"/>
    <x v="2"/>
    <x v="1"/>
    <s v="Formal Black Trousers"/>
    <n v="12"/>
    <n v="1280"/>
    <n v="0"/>
    <n v="15360"/>
    <x v="2"/>
    <n v="14080"/>
    <x v="0"/>
  </r>
  <r>
    <s v="WD0003"/>
    <d v="2024-08-02T00:00:00"/>
    <x v="7"/>
    <x v="2"/>
    <x v="1"/>
    <x v="2"/>
    <s v="Saree"/>
    <n v="12"/>
    <n v="9730"/>
    <n v="20"/>
    <n v="93408"/>
    <x v="4"/>
    <n v="83678"/>
    <x v="0"/>
  </r>
  <r>
    <s v="WD0081"/>
    <d v="2024-08-02T00:00:00"/>
    <x v="7"/>
    <x v="2"/>
    <x v="1"/>
    <x v="3"/>
    <s v="Evening Gown"/>
    <n v="14"/>
    <n v="4770"/>
    <n v="30"/>
    <n v="46746"/>
    <x v="10"/>
    <n v="41976"/>
    <x v="0"/>
  </r>
  <r>
    <s v="WD0433"/>
    <d v="2024-08-03T00:00:00"/>
    <x v="7"/>
    <x v="2"/>
    <x v="3"/>
    <x v="3"/>
    <s v="Casual Sundress"/>
    <n v="14"/>
    <n v="2930"/>
    <n v="20"/>
    <n v="32816"/>
    <x v="7"/>
    <n v="29886"/>
    <x v="0"/>
  </r>
  <r>
    <s v="WD0173"/>
    <d v="2024-08-03T00:00:00"/>
    <x v="7"/>
    <x v="2"/>
    <x v="3"/>
    <x v="5"/>
    <s v="Casual Polo"/>
    <n v="3"/>
    <n v="1100"/>
    <n v="25"/>
    <n v="2475"/>
    <x v="3"/>
    <n v="1375"/>
    <x v="0"/>
  </r>
  <r>
    <s v="WD0378"/>
    <d v="2024-08-04T00:00:00"/>
    <x v="7"/>
    <x v="2"/>
    <x v="0"/>
    <x v="1"/>
    <s v="Jogger Pants"/>
    <n v="11"/>
    <n v="1450"/>
    <n v="5"/>
    <n v="15152.5"/>
    <x v="8"/>
    <n v="13702.5"/>
    <x v="0"/>
  </r>
  <r>
    <s v="WD0893"/>
    <d v="2024-08-06T00:00:00"/>
    <x v="7"/>
    <x v="2"/>
    <x v="0"/>
    <x v="0"/>
    <s v="Leather Belt"/>
    <n v="15"/>
    <n v="2020"/>
    <n v="10"/>
    <n v="27270"/>
    <x v="0"/>
    <n v="25250"/>
    <x v="0"/>
  </r>
  <r>
    <s v="WD0972"/>
    <d v="2024-08-06T00:00:00"/>
    <x v="7"/>
    <x v="2"/>
    <x v="1"/>
    <x v="0"/>
    <s v="Cap"/>
    <n v="12"/>
    <n v="1370"/>
    <n v="30"/>
    <n v="11508"/>
    <x v="1"/>
    <n v="10138"/>
    <x v="0"/>
  </r>
  <r>
    <s v="WD0785"/>
    <d v="2024-08-06T00:00:00"/>
    <x v="7"/>
    <x v="2"/>
    <x v="0"/>
    <x v="2"/>
    <s v="Saree"/>
    <n v="10"/>
    <n v="6300"/>
    <n v="5"/>
    <n v="59850"/>
    <x v="8"/>
    <n v="53550"/>
    <x v="0"/>
  </r>
  <r>
    <s v="WD0796"/>
    <d v="2024-08-06T00:00:00"/>
    <x v="7"/>
    <x v="2"/>
    <x v="0"/>
    <x v="0"/>
    <s v="Cap"/>
    <n v="15"/>
    <n v="2640"/>
    <n v="5"/>
    <n v="37620"/>
    <x v="8"/>
    <n v="34980"/>
    <x v="0"/>
  </r>
  <r>
    <s v="WD0030"/>
    <d v="2024-08-08T00:00:00"/>
    <x v="7"/>
    <x v="2"/>
    <x v="2"/>
    <x v="4"/>
    <s v="Blazer"/>
    <n v="2"/>
    <n v="3330"/>
    <n v="25"/>
    <n v="4995"/>
    <x v="2"/>
    <n v="1665"/>
    <x v="0"/>
  </r>
  <r>
    <s v="WD0862"/>
    <d v="2024-08-10T00:00:00"/>
    <x v="7"/>
    <x v="2"/>
    <x v="0"/>
    <x v="0"/>
    <s v="Cap"/>
    <n v="7"/>
    <n v="2220"/>
    <n v="15"/>
    <n v="13209"/>
    <x v="0"/>
    <n v="10989"/>
    <x v="0"/>
  </r>
  <r>
    <s v="WD0612"/>
    <d v="2024-08-10T00:00:00"/>
    <x v="7"/>
    <x v="2"/>
    <x v="0"/>
    <x v="5"/>
    <s v="Casual Polo"/>
    <n v="12"/>
    <n v="1620"/>
    <n v="25"/>
    <n v="14580"/>
    <x v="0"/>
    <n v="12960"/>
    <x v="0"/>
  </r>
  <r>
    <s v="WD0884"/>
    <d v="2024-08-10T00:00:00"/>
    <x v="7"/>
    <x v="2"/>
    <x v="2"/>
    <x v="4"/>
    <s v="Blazer"/>
    <n v="3"/>
    <n v="5320"/>
    <n v="20"/>
    <n v="12768"/>
    <x v="5"/>
    <n v="7448"/>
    <x v="0"/>
  </r>
  <r>
    <s v="WD0225"/>
    <d v="2024-08-11T00:00:00"/>
    <x v="7"/>
    <x v="2"/>
    <x v="1"/>
    <x v="1"/>
    <s v="Jogger Pants"/>
    <n v="9"/>
    <n v="2010"/>
    <n v="5"/>
    <n v="17185.5"/>
    <x v="4"/>
    <n v="15175.5"/>
    <x v="0"/>
  </r>
  <r>
    <s v="WD0248"/>
    <d v="2024-08-12T00:00:00"/>
    <x v="7"/>
    <x v="2"/>
    <x v="2"/>
    <x v="5"/>
    <s v="Casual Polo"/>
    <n v="11"/>
    <n v="2210"/>
    <n v="30"/>
    <n v="17017"/>
    <x v="5"/>
    <n v="14807"/>
    <x v="0"/>
  </r>
  <r>
    <s v="WD0795"/>
    <d v="2024-08-12T00:00:00"/>
    <x v="7"/>
    <x v="2"/>
    <x v="2"/>
    <x v="0"/>
    <s v="Silk Scarf"/>
    <n v="2"/>
    <n v="2340"/>
    <n v="5"/>
    <n v="4446"/>
    <x v="9"/>
    <n v="2106"/>
    <x v="0"/>
  </r>
  <r>
    <s v="WD0210"/>
    <d v="2024-08-12T00:00:00"/>
    <x v="7"/>
    <x v="2"/>
    <x v="1"/>
    <x v="2"/>
    <s v="Saree"/>
    <n v="12"/>
    <n v="1950"/>
    <n v="15"/>
    <n v="19890"/>
    <x v="10"/>
    <n v="17940"/>
    <x v="0"/>
  </r>
  <r>
    <s v="WD0268"/>
    <d v="2024-08-13T00:00:00"/>
    <x v="7"/>
    <x v="2"/>
    <x v="0"/>
    <x v="3"/>
    <s v="Wrap Dress"/>
    <n v="1"/>
    <n v="1360"/>
    <n v="5"/>
    <n v="1292"/>
    <x v="8"/>
    <n v="-68"/>
    <x v="0"/>
  </r>
  <r>
    <s v="WD0108"/>
    <d v="2024-08-13T00:00:00"/>
    <x v="7"/>
    <x v="2"/>
    <x v="0"/>
    <x v="5"/>
    <s v="Classic White Shirt"/>
    <n v="8"/>
    <n v="1690"/>
    <n v="15"/>
    <n v="11492"/>
    <x v="8"/>
    <n v="9802"/>
    <x v="0"/>
  </r>
  <r>
    <s v="WD0962"/>
    <d v="2024-08-13T00:00:00"/>
    <x v="7"/>
    <x v="2"/>
    <x v="2"/>
    <x v="5"/>
    <s v="Classic White Shirt"/>
    <n v="10"/>
    <n v="2490"/>
    <n v="5"/>
    <n v="23655"/>
    <x v="2"/>
    <n v="21165"/>
    <x v="0"/>
  </r>
  <r>
    <s v="WD0242"/>
    <d v="2024-08-13T00:00:00"/>
    <x v="7"/>
    <x v="2"/>
    <x v="3"/>
    <x v="5"/>
    <s v="Formal Blue Shirt"/>
    <n v="7"/>
    <n v="1430"/>
    <n v="25"/>
    <n v="7507.5"/>
    <x v="7"/>
    <n v="6077.5"/>
    <x v="0"/>
  </r>
  <r>
    <s v="WD0770"/>
    <d v="2024-08-14T00:00:00"/>
    <x v="7"/>
    <x v="2"/>
    <x v="1"/>
    <x v="3"/>
    <s v="Casual Sundress"/>
    <n v="10"/>
    <n v="5940"/>
    <n v="30"/>
    <n v="41580"/>
    <x v="10"/>
    <n v="35640"/>
    <x v="0"/>
  </r>
  <r>
    <s v="WD0205"/>
    <d v="2024-08-14T00:00:00"/>
    <x v="7"/>
    <x v="2"/>
    <x v="3"/>
    <x v="0"/>
    <s v="Cap"/>
    <n v="2"/>
    <n v="710"/>
    <n v="15"/>
    <n v="1207"/>
    <x v="3"/>
    <n v="497"/>
    <x v="0"/>
  </r>
  <r>
    <s v="WD0427"/>
    <d v="2024-08-14T00:00:00"/>
    <x v="7"/>
    <x v="2"/>
    <x v="2"/>
    <x v="0"/>
    <s v="Silk Scarf"/>
    <n v="10"/>
    <n v="2780"/>
    <n v="25"/>
    <n v="20850"/>
    <x v="5"/>
    <n v="18070"/>
    <x v="0"/>
  </r>
  <r>
    <s v="WD0974"/>
    <d v="2024-08-14T00:00:00"/>
    <x v="7"/>
    <x v="2"/>
    <x v="1"/>
    <x v="1"/>
    <s v="Cargo Trousers"/>
    <n v="7"/>
    <n v="2800"/>
    <n v="30"/>
    <n v="13720"/>
    <x v="1"/>
    <n v="10920"/>
    <x v="0"/>
  </r>
  <r>
    <s v="WD0751"/>
    <d v="2024-08-14T00:00:00"/>
    <x v="7"/>
    <x v="2"/>
    <x v="0"/>
    <x v="2"/>
    <s v="Sherwani"/>
    <n v="9"/>
    <n v="9060"/>
    <n v="20"/>
    <n v="65232"/>
    <x v="8"/>
    <n v="56172"/>
    <x v="0"/>
  </r>
  <r>
    <s v="WD0992"/>
    <d v="2024-08-14T00:00:00"/>
    <x v="7"/>
    <x v="2"/>
    <x v="0"/>
    <x v="3"/>
    <s v="Evening Gown"/>
    <n v="3"/>
    <n v="4450"/>
    <n v="30"/>
    <n v="9345"/>
    <x v="0"/>
    <n v="4895"/>
    <x v="0"/>
  </r>
  <r>
    <s v="WD0897"/>
    <d v="2024-08-14T00:00:00"/>
    <x v="7"/>
    <x v="2"/>
    <x v="2"/>
    <x v="2"/>
    <s v="Lehenga"/>
    <n v="11"/>
    <n v="4010"/>
    <n v="0"/>
    <n v="44110"/>
    <x v="9"/>
    <n v="40100"/>
    <x v="0"/>
  </r>
  <r>
    <s v="WD0148"/>
    <d v="2024-08-14T00:00:00"/>
    <x v="7"/>
    <x v="2"/>
    <x v="1"/>
    <x v="4"/>
    <s v="Bomber Jacket"/>
    <n v="3"/>
    <n v="6740"/>
    <n v="0"/>
    <n v="20220"/>
    <x v="1"/>
    <n v="13480"/>
    <x v="0"/>
  </r>
  <r>
    <s v="WD0295"/>
    <d v="2024-08-14T00:00:00"/>
    <x v="7"/>
    <x v="2"/>
    <x v="3"/>
    <x v="5"/>
    <s v="Formal Blue Shirt"/>
    <n v="2"/>
    <n v="2410"/>
    <n v="10"/>
    <n v="4338"/>
    <x v="3"/>
    <n v="1928"/>
    <x v="0"/>
  </r>
  <r>
    <s v="WD0192"/>
    <d v="2024-08-14T00:00:00"/>
    <x v="7"/>
    <x v="2"/>
    <x v="1"/>
    <x v="3"/>
    <s v="Wrap Dress"/>
    <n v="8"/>
    <n v="4310"/>
    <n v="20"/>
    <n v="27584"/>
    <x v="1"/>
    <n v="23274"/>
    <x v="0"/>
  </r>
  <r>
    <s v="WD0598"/>
    <d v="2024-08-14T00:00:00"/>
    <x v="7"/>
    <x v="2"/>
    <x v="1"/>
    <x v="5"/>
    <s v="Formal Blue Shirt"/>
    <n v="14"/>
    <n v="980"/>
    <n v="30"/>
    <n v="9604"/>
    <x v="4"/>
    <n v="8624"/>
    <x v="0"/>
  </r>
  <r>
    <s v="WD0220"/>
    <d v="2024-08-15T00:00:00"/>
    <x v="7"/>
    <x v="2"/>
    <x v="0"/>
    <x v="5"/>
    <s v="Striped Shirt"/>
    <n v="12"/>
    <n v="1290"/>
    <n v="5"/>
    <n v="14706"/>
    <x v="0"/>
    <n v="13416"/>
    <x v="0"/>
  </r>
  <r>
    <s v="WD0166"/>
    <d v="2024-08-15T00:00:00"/>
    <x v="7"/>
    <x v="2"/>
    <x v="0"/>
    <x v="3"/>
    <s v="Floral Maxi Dress"/>
    <n v="4"/>
    <n v="4450"/>
    <n v="15"/>
    <n v="15130"/>
    <x v="11"/>
    <n v="10680"/>
    <x v="0"/>
  </r>
  <r>
    <s v="WD0254"/>
    <d v="2024-08-15T00:00:00"/>
    <x v="7"/>
    <x v="2"/>
    <x v="2"/>
    <x v="5"/>
    <s v="Casual Polo"/>
    <n v="8"/>
    <n v="2220"/>
    <n v="5"/>
    <n v="16872"/>
    <x v="5"/>
    <n v="14652"/>
    <x v="0"/>
  </r>
  <r>
    <s v="WD0250"/>
    <d v="2024-08-15T00:00:00"/>
    <x v="7"/>
    <x v="2"/>
    <x v="1"/>
    <x v="2"/>
    <s v="Saree"/>
    <n v="6"/>
    <n v="9310"/>
    <n v="10"/>
    <n v="50274"/>
    <x v="4"/>
    <n v="40964"/>
    <x v="0"/>
  </r>
  <r>
    <s v="WD0973"/>
    <d v="2024-08-16T00:00:00"/>
    <x v="7"/>
    <x v="2"/>
    <x v="0"/>
    <x v="3"/>
    <s v="Floral Maxi Dress"/>
    <n v="6"/>
    <n v="2420"/>
    <n v="10"/>
    <n v="13068"/>
    <x v="0"/>
    <n v="10648"/>
    <x v="0"/>
  </r>
  <r>
    <s v="WD0700"/>
    <d v="2024-08-16T00:00:00"/>
    <x v="7"/>
    <x v="2"/>
    <x v="2"/>
    <x v="3"/>
    <s v="Evening Gown"/>
    <n v="9"/>
    <n v="2620"/>
    <n v="15"/>
    <n v="20043"/>
    <x v="5"/>
    <n v="17423"/>
    <x v="0"/>
  </r>
  <r>
    <s v="WD0523"/>
    <d v="2024-08-16T00:00:00"/>
    <x v="7"/>
    <x v="2"/>
    <x v="1"/>
    <x v="0"/>
    <s v="Leather Belt"/>
    <n v="8"/>
    <n v="950"/>
    <n v="20"/>
    <n v="6080"/>
    <x v="4"/>
    <n v="5130"/>
    <x v="0"/>
  </r>
  <r>
    <s v="WD0970"/>
    <d v="2024-08-16T00:00:00"/>
    <x v="7"/>
    <x v="2"/>
    <x v="2"/>
    <x v="3"/>
    <s v="Casual Sundress"/>
    <n v="9"/>
    <n v="1110"/>
    <n v="30"/>
    <n v="6993"/>
    <x v="9"/>
    <n v="5883"/>
    <x v="0"/>
  </r>
  <r>
    <s v="WD0599"/>
    <d v="2024-08-17T00:00:00"/>
    <x v="7"/>
    <x v="2"/>
    <x v="3"/>
    <x v="2"/>
    <s v="Saree"/>
    <n v="4"/>
    <n v="10420"/>
    <n v="10"/>
    <n v="37512"/>
    <x v="6"/>
    <n v="27092"/>
    <x v="0"/>
  </r>
  <r>
    <s v="WD0390"/>
    <d v="2024-08-18T00:00:00"/>
    <x v="7"/>
    <x v="2"/>
    <x v="0"/>
    <x v="4"/>
    <s v="Denim Jacket"/>
    <n v="15"/>
    <n v="7160"/>
    <n v="5"/>
    <n v="102030"/>
    <x v="0"/>
    <n v="94870"/>
    <x v="0"/>
  </r>
  <r>
    <s v="WD0773"/>
    <d v="2024-08-18T00:00:00"/>
    <x v="7"/>
    <x v="2"/>
    <x v="3"/>
    <x v="5"/>
    <s v="Formal Blue Shirt"/>
    <n v="2"/>
    <n v="1920"/>
    <n v="10"/>
    <n v="3456"/>
    <x v="7"/>
    <n v="1536"/>
    <x v="0"/>
  </r>
  <r>
    <s v="WD0398"/>
    <d v="2024-08-18T00:00:00"/>
    <x v="7"/>
    <x v="2"/>
    <x v="2"/>
    <x v="4"/>
    <s v="Bomber Jacket"/>
    <n v="6"/>
    <n v="2980"/>
    <n v="30"/>
    <n v="12516"/>
    <x v="9"/>
    <n v="9536"/>
    <x v="0"/>
  </r>
  <r>
    <s v="WD0908"/>
    <d v="2024-08-18T00:00:00"/>
    <x v="7"/>
    <x v="2"/>
    <x v="1"/>
    <x v="2"/>
    <s v="Sherwani"/>
    <n v="14"/>
    <n v="7250"/>
    <n v="30"/>
    <n v="71050"/>
    <x v="4"/>
    <n v="63800"/>
    <x v="0"/>
  </r>
  <r>
    <s v="WD0867"/>
    <d v="2024-08-18T00:00:00"/>
    <x v="7"/>
    <x v="2"/>
    <x v="0"/>
    <x v="2"/>
    <s v="Saree"/>
    <n v="7"/>
    <n v="6720"/>
    <n v="20"/>
    <n v="37632"/>
    <x v="8"/>
    <n v="30912"/>
    <x v="0"/>
  </r>
  <r>
    <s v="WD0588"/>
    <d v="2024-08-19T00:00:00"/>
    <x v="7"/>
    <x v="2"/>
    <x v="0"/>
    <x v="4"/>
    <s v="Leather Jacket"/>
    <n v="6"/>
    <n v="3910"/>
    <n v="10"/>
    <n v="21114"/>
    <x v="11"/>
    <n v="17204"/>
    <x v="0"/>
  </r>
  <r>
    <s v="WD0803"/>
    <d v="2024-08-20T00:00:00"/>
    <x v="7"/>
    <x v="2"/>
    <x v="2"/>
    <x v="4"/>
    <s v="Blazer"/>
    <n v="1"/>
    <n v="4260"/>
    <n v="5"/>
    <n v="4047"/>
    <x v="9"/>
    <n v="-213"/>
    <x v="0"/>
  </r>
  <r>
    <s v="WD0931"/>
    <d v="2024-08-20T00:00:00"/>
    <x v="7"/>
    <x v="2"/>
    <x v="0"/>
    <x v="5"/>
    <s v="Striped Shirt"/>
    <n v="15"/>
    <n v="870"/>
    <n v="20"/>
    <n v="10440"/>
    <x v="11"/>
    <n v="9570"/>
    <x v="0"/>
  </r>
  <r>
    <s v="WD0413"/>
    <d v="2024-08-20T00:00:00"/>
    <x v="7"/>
    <x v="2"/>
    <x v="1"/>
    <x v="4"/>
    <s v="Bomber Jacket"/>
    <n v="15"/>
    <n v="6860"/>
    <n v="10"/>
    <n v="92610"/>
    <x v="1"/>
    <n v="85750"/>
    <x v="0"/>
  </r>
  <r>
    <s v="WD0036"/>
    <d v="2024-08-20T00:00:00"/>
    <x v="7"/>
    <x v="2"/>
    <x v="2"/>
    <x v="4"/>
    <s v="Denim Jacket"/>
    <n v="5"/>
    <n v="8900"/>
    <n v="30"/>
    <n v="31150"/>
    <x v="2"/>
    <n v="22250"/>
    <x v="0"/>
  </r>
  <r>
    <s v="WD0926"/>
    <d v="2024-08-20T00:00:00"/>
    <x v="7"/>
    <x v="2"/>
    <x v="3"/>
    <x v="3"/>
    <s v="Casual Sundress"/>
    <n v="6"/>
    <n v="3170"/>
    <n v="20"/>
    <n v="15216"/>
    <x v="6"/>
    <n v="12046"/>
    <x v="0"/>
  </r>
  <r>
    <s v="WD0303"/>
    <d v="2024-08-20T00:00:00"/>
    <x v="7"/>
    <x v="2"/>
    <x v="3"/>
    <x v="2"/>
    <s v="Kurta Set"/>
    <n v="6"/>
    <n v="12180"/>
    <n v="10"/>
    <n v="65772"/>
    <x v="3"/>
    <n v="53592"/>
    <x v="0"/>
  </r>
  <r>
    <s v="WD0579"/>
    <d v="2024-08-20T00:00:00"/>
    <x v="7"/>
    <x v="2"/>
    <x v="0"/>
    <x v="3"/>
    <s v="Evening Gown"/>
    <n v="14"/>
    <n v="5130"/>
    <n v="5"/>
    <n v="68229"/>
    <x v="8"/>
    <n v="63099"/>
    <x v="0"/>
  </r>
  <r>
    <s v="WD0565"/>
    <d v="2024-08-21T00:00:00"/>
    <x v="7"/>
    <x v="2"/>
    <x v="1"/>
    <x v="3"/>
    <s v="Evening Gown"/>
    <n v="7"/>
    <n v="1910"/>
    <n v="15"/>
    <n v="11364.5"/>
    <x v="1"/>
    <n v="9454.5"/>
    <x v="0"/>
  </r>
  <r>
    <s v="WD0521"/>
    <d v="2024-08-21T00:00:00"/>
    <x v="7"/>
    <x v="2"/>
    <x v="2"/>
    <x v="1"/>
    <s v="Formal Black Trousers"/>
    <n v="4"/>
    <n v="3060"/>
    <n v="0"/>
    <n v="12240"/>
    <x v="5"/>
    <n v="9180"/>
    <x v="0"/>
  </r>
  <r>
    <s v="WD0866"/>
    <d v="2024-08-21T00:00:00"/>
    <x v="7"/>
    <x v="2"/>
    <x v="2"/>
    <x v="5"/>
    <s v="Casual Polo"/>
    <n v="7"/>
    <n v="1820"/>
    <n v="30"/>
    <n v="8918"/>
    <x v="9"/>
    <n v="7098"/>
    <x v="0"/>
  </r>
  <r>
    <s v="WD0094"/>
    <d v="2024-08-23T00:00:00"/>
    <x v="7"/>
    <x v="2"/>
    <x v="1"/>
    <x v="4"/>
    <s v="Blazer"/>
    <n v="6"/>
    <n v="2740"/>
    <n v="25"/>
    <n v="12330"/>
    <x v="10"/>
    <n v="9590"/>
    <x v="0"/>
  </r>
  <r>
    <s v="WD0147"/>
    <d v="2024-08-23T00:00:00"/>
    <x v="7"/>
    <x v="2"/>
    <x v="2"/>
    <x v="4"/>
    <s v="Leather Jacket"/>
    <n v="11"/>
    <n v="3620"/>
    <n v="10"/>
    <n v="35838"/>
    <x v="2"/>
    <n v="32218"/>
    <x v="0"/>
  </r>
  <r>
    <s v="WD0849"/>
    <d v="2024-08-24T00:00:00"/>
    <x v="7"/>
    <x v="2"/>
    <x v="0"/>
    <x v="5"/>
    <s v="Classic White Shirt"/>
    <n v="6"/>
    <n v="1500"/>
    <n v="15"/>
    <n v="7650"/>
    <x v="11"/>
    <n v="6150"/>
    <x v="0"/>
  </r>
  <r>
    <s v="WD0206"/>
    <d v="2024-08-24T00:00:00"/>
    <x v="7"/>
    <x v="2"/>
    <x v="3"/>
    <x v="3"/>
    <s v="Floral Maxi Dress"/>
    <n v="2"/>
    <n v="2760"/>
    <n v="10"/>
    <n v="4968"/>
    <x v="7"/>
    <n v="2208"/>
    <x v="0"/>
  </r>
  <r>
    <s v="WD0084"/>
    <d v="2024-08-24T00:00:00"/>
    <x v="7"/>
    <x v="2"/>
    <x v="1"/>
    <x v="4"/>
    <s v="Denim Jacket"/>
    <n v="7"/>
    <n v="2590"/>
    <n v="5"/>
    <n v="17223.5"/>
    <x v="4"/>
    <n v="14633.5"/>
    <x v="0"/>
  </r>
  <r>
    <s v="WD0624"/>
    <d v="2024-08-24T00:00:00"/>
    <x v="7"/>
    <x v="2"/>
    <x v="1"/>
    <x v="1"/>
    <s v="Slim Fit Chinos"/>
    <n v="15"/>
    <n v="3100"/>
    <n v="20"/>
    <n v="37200"/>
    <x v="10"/>
    <n v="34100"/>
    <x v="0"/>
  </r>
  <r>
    <s v="WD0376"/>
    <d v="2024-08-24T00:00:00"/>
    <x v="7"/>
    <x v="2"/>
    <x v="2"/>
    <x v="2"/>
    <s v="Saree"/>
    <n v="9"/>
    <n v="9340"/>
    <n v="0"/>
    <n v="84060"/>
    <x v="9"/>
    <n v="74720"/>
    <x v="0"/>
  </r>
  <r>
    <s v="WD0033"/>
    <d v="2024-08-24T00:00:00"/>
    <x v="7"/>
    <x v="2"/>
    <x v="2"/>
    <x v="1"/>
    <s v="Cargo Trousers"/>
    <n v="3"/>
    <n v="1180"/>
    <n v="10"/>
    <n v="3186"/>
    <x v="5"/>
    <n v="2006"/>
    <x v="0"/>
  </r>
  <r>
    <s v="WD0827"/>
    <d v="2024-08-24T00:00:00"/>
    <x v="7"/>
    <x v="2"/>
    <x v="0"/>
    <x v="1"/>
    <s v="Cargo Trousers"/>
    <n v="9"/>
    <n v="3210"/>
    <n v="10"/>
    <n v="26001"/>
    <x v="8"/>
    <n v="22791"/>
    <x v="0"/>
  </r>
  <r>
    <s v="WD0338"/>
    <d v="2024-08-26T00:00:00"/>
    <x v="7"/>
    <x v="2"/>
    <x v="3"/>
    <x v="3"/>
    <s v="Evening Gown"/>
    <n v="15"/>
    <n v="2800"/>
    <n v="15"/>
    <n v="35700"/>
    <x v="6"/>
    <n v="32900"/>
    <x v="0"/>
  </r>
  <r>
    <s v="WD0459"/>
    <d v="2024-08-26T00:00:00"/>
    <x v="7"/>
    <x v="2"/>
    <x v="2"/>
    <x v="2"/>
    <s v="Kurta Set"/>
    <n v="3"/>
    <n v="3290"/>
    <n v="15"/>
    <n v="8389.5"/>
    <x v="2"/>
    <n v="5099.5"/>
    <x v="0"/>
  </r>
  <r>
    <s v="WD0745"/>
    <d v="2024-08-27T00:00:00"/>
    <x v="7"/>
    <x v="2"/>
    <x v="2"/>
    <x v="0"/>
    <s v="Handbag"/>
    <n v="14"/>
    <n v="2810"/>
    <n v="0"/>
    <n v="39340"/>
    <x v="9"/>
    <n v="36530"/>
    <x v="0"/>
  </r>
  <r>
    <s v="WD0846"/>
    <d v="2024-08-27T00:00:00"/>
    <x v="7"/>
    <x v="2"/>
    <x v="1"/>
    <x v="4"/>
    <s v="Leather Jacket"/>
    <n v="13"/>
    <n v="2650"/>
    <n v="25"/>
    <n v="25837.5"/>
    <x v="4"/>
    <n v="23187.5"/>
    <x v="0"/>
  </r>
  <r>
    <s v="WD0221"/>
    <d v="2024-08-28T00:00:00"/>
    <x v="7"/>
    <x v="2"/>
    <x v="3"/>
    <x v="0"/>
    <s v="Handbag"/>
    <n v="4"/>
    <n v="930"/>
    <n v="10"/>
    <n v="3348"/>
    <x v="6"/>
    <n v="2418"/>
    <x v="0"/>
  </r>
  <r>
    <s v="WD0298"/>
    <d v="2024-08-29T00:00:00"/>
    <x v="7"/>
    <x v="2"/>
    <x v="2"/>
    <x v="0"/>
    <s v="Silk Scarf"/>
    <n v="7"/>
    <n v="440"/>
    <n v="10"/>
    <n v="2772"/>
    <x v="5"/>
    <n v="2332"/>
    <x v="0"/>
  </r>
  <r>
    <s v="WD0793"/>
    <d v="2024-08-30T00:00:00"/>
    <x v="7"/>
    <x v="2"/>
    <x v="0"/>
    <x v="0"/>
    <s v="Cap"/>
    <n v="7"/>
    <n v="800"/>
    <n v="15"/>
    <n v="4760"/>
    <x v="11"/>
    <n v="3960"/>
    <x v="0"/>
  </r>
  <r>
    <s v="WD0955"/>
    <d v="2024-08-30T00:00:00"/>
    <x v="7"/>
    <x v="2"/>
    <x v="1"/>
    <x v="3"/>
    <s v="Wrap Dress"/>
    <n v="9"/>
    <n v="5850"/>
    <n v="5"/>
    <n v="50017.5"/>
    <x v="1"/>
    <n v="44167.5"/>
    <x v="0"/>
  </r>
  <r>
    <s v="WD0936"/>
    <d v="2024-08-30T00:00:00"/>
    <x v="7"/>
    <x v="2"/>
    <x v="0"/>
    <x v="2"/>
    <s v="Lehenga"/>
    <n v="4"/>
    <n v="11410"/>
    <n v="20"/>
    <n v="36512"/>
    <x v="8"/>
    <n v="25102"/>
    <x v="0"/>
  </r>
  <r>
    <s v="WD0697"/>
    <d v="2024-08-31T00:00:00"/>
    <x v="7"/>
    <x v="2"/>
    <x v="1"/>
    <x v="0"/>
    <s v="Silk Scarf"/>
    <n v="14"/>
    <n v="460"/>
    <n v="10"/>
    <n v="5796"/>
    <x v="10"/>
    <n v="5336"/>
    <x v="0"/>
  </r>
  <r>
    <s v="WD0983"/>
    <d v="2024-08-31T00:00:00"/>
    <x v="7"/>
    <x v="2"/>
    <x v="0"/>
    <x v="2"/>
    <s v="Lehenga"/>
    <n v="11"/>
    <n v="11480"/>
    <n v="25"/>
    <n v="94710"/>
    <x v="0"/>
    <n v="83230"/>
    <x v="0"/>
  </r>
  <r>
    <s v="WD0075"/>
    <d v="2024-08-31T00:00:00"/>
    <x v="7"/>
    <x v="2"/>
    <x v="0"/>
    <x v="2"/>
    <s v="Lehenga"/>
    <n v="12"/>
    <n v="11820"/>
    <n v="30"/>
    <n v="99288"/>
    <x v="8"/>
    <n v="87468"/>
    <x v="0"/>
  </r>
  <r>
    <s v="WD0535"/>
    <d v="2024-08-31T00:00:00"/>
    <x v="7"/>
    <x v="2"/>
    <x v="2"/>
    <x v="3"/>
    <s v="Casual Sundress"/>
    <n v="11"/>
    <n v="4430"/>
    <n v="30"/>
    <n v="34111"/>
    <x v="9"/>
    <n v="29681"/>
    <x v="0"/>
  </r>
  <r>
    <s v="WD0606"/>
    <d v="2024-08-31T00:00:00"/>
    <x v="7"/>
    <x v="2"/>
    <x v="3"/>
    <x v="3"/>
    <s v="Casual Sundress"/>
    <n v="10"/>
    <n v="5750"/>
    <n v="20"/>
    <n v="46000"/>
    <x v="3"/>
    <n v="40250"/>
    <x v="0"/>
  </r>
  <r>
    <s v="WD0810"/>
    <d v="2024-08-31T00:00:00"/>
    <x v="7"/>
    <x v="2"/>
    <x v="1"/>
    <x v="2"/>
    <s v="Lehenga"/>
    <n v="10"/>
    <n v="4230"/>
    <n v="25"/>
    <n v="31725"/>
    <x v="1"/>
    <n v="27495"/>
    <x v="0"/>
  </r>
  <r>
    <s v="WD0710"/>
    <d v="2024-08-31T00:00:00"/>
    <x v="7"/>
    <x v="2"/>
    <x v="1"/>
    <x v="5"/>
    <s v="Formal Blue Shirt"/>
    <n v="6"/>
    <n v="2230"/>
    <n v="30"/>
    <n v="9366"/>
    <x v="1"/>
    <n v="7136"/>
    <x v="0"/>
  </r>
  <r>
    <s v="WD0792"/>
    <d v="2024-09-01T00:00:00"/>
    <x v="8"/>
    <x v="2"/>
    <x v="2"/>
    <x v="0"/>
    <s v="Leather Belt"/>
    <n v="12"/>
    <n v="1270"/>
    <n v="30"/>
    <n v="10668"/>
    <x v="5"/>
    <n v="9398"/>
    <x v="0"/>
  </r>
  <r>
    <s v="WD0299"/>
    <d v="2024-09-01T00:00:00"/>
    <x v="8"/>
    <x v="2"/>
    <x v="2"/>
    <x v="5"/>
    <s v="Casual Polo"/>
    <n v="15"/>
    <n v="1370"/>
    <n v="15"/>
    <n v="17467.5"/>
    <x v="9"/>
    <n v="16097.5"/>
    <x v="0"/>
  </r>
  <r>
    <s v="WD0715"/>
    <d v="2024-09-01T00:00:00"/>
    <x v="8"/>
    <x v="2"/>
    <x v="3"/>
    <x v="4"/>
    <s v="Denim Jacket"/>
    <n v="8"/>
    <n v="6810"/>
    <n v="30"/>
    <n v="38136"/>
    <x v="7"/>
    <n v="31326"/>
    <x v="0"/>
  </r>
  <r>
    <s v="WD0646"/>
    <d v="2024-09-02T00:00:00"/>
    <x v="8"/>
    <x v="2"/>
    <x v="2"/>
    <x v="4"/>
    <s v="Bomber Jacket"/>
    <n v="8"/>
    <n v="7040"/>
    <n v="25"/>
    <n v="42240"/>
    <x v="2"/>
    <n v="35200"/>
    <x v="0"/>
  </r>
  <r>
    <s v="WD0967"/>
    <d v="2024-09-02T00:00:00"/>
    <x v="8"/>
    <x v="2"/>
    <x v="2"/>
    <x v="2"/>
    <s v="Lehenga"/>
    <n v="2"/>
    <n v="5390"/>
    <n v="25"/>
    <n v="8085"/>
    <x v="5"/>
    <n v="2695"/>
    <x v="0"/>
  </r>
  <r>
    <s v="WD0373"/>
    <d v="2024-09-02T00:00:00"/>
    <x v="8"/>
    <x v="2"/>
    <x v="2"/>
    <x v="3"/>
    <s v="Evening Gown"/>
    <n v="12"/>
    <n v="4020"/>
    <n v="5"/>
    <n v="45828"/>
    <x v="2"/>
    <n v="41808"/>
    <x v="0"/>
  </r>
  <r>
    <s v="WD0258"/>
    <d v="2024-09-02T00:00:00"/>
    <x v="8"/>
    <x v="2"/>
    <x v="2"/>
    <x v="2"/>
    <s v="Kurta Set"/>
    <n v="7"/>
    <n v="2260"/>
    <n v="25"/>
    <n v="11865"/>
    <x v="9"/>
    <n v="9605"/>
    <x v="0"/>
  </r>
  <r>
    <s v="WD0870"/>
    <d v="2024-09-03T00:00:00"/>
    <x v="8"/>
    <x v="2"/>
    <x v="1"/>
    <x v="2"/>
    <s v="Lehenga"/>
    <n v="2"/>
    <n v="9610"/>
    <n v="20"/>
    <n v="15376"/>
    <x v="10"/>
    <n v="5766"/>
    <x v="0"/>
  </r>
  <r>
    <s v="WD0678"/>
    <d v="2024-09-03T00:00:00"/>
    <x v="8"/>
    <x v="2"/>
    <x v="0"/>
    <x v="0"/>
    <s v="Handbag"/>
    <n v="14"/>
    <n v="2720"/>
    <n v="0"/>
    <n v="38080"/>
    <x v="11"/>
    <n v="35360"/>
    <x v="0"/>
  </r>
  <r>
    <s v="WD0902"/>
    <d v="2024-09-03T00:00:00"/>
    <x v="8"/>
    <x v="2"/>
    <x v="2"/>
    <x v="5"/>
    <s v="Striped Shirt"/>
    <n v="14"/>
    <n v="2410"/>
    <n v="30"/>
    <n v="23618"/>
    <x v="5"/>
    <n v="21208"/>
    <x v="0"/>
  </r>
  <r>
    <s v="WD0369"/>
    <d v="2024-09-04T00:00:00"/>
    <x v="8"/>
    <x v="2"/>
    <x v="2"/>
    <x v="5"/>
    <s v="Casual Polo"/>
    <n v="7"/>
    <n v="1420"/>
    <n v="10"/>
    <n v="8946"/>
    <x v="5"/>
    <n v="7526"/>
    <x v="0"/>
  </r>
  <r>
    <s v="WD0951"/>
    <d v="2024-09-05T00:00:00"/>
    <x v="8"/>
    <x v="2"/>
    <x v="0"/>
    <x v="3"/>
    <s v="Floral Maxi Dress"/>
    <n v="6"/>
    <n v="1320"/>
    <n v="15"/>
    <n v="6732"/>
    <x v="0"/>
    <n v="5412"/>
    <x v="0"/>
  </r>
  <r>
    <s v="WD0957"/>
    <d v="2024-09-05T00:00:00"/>
    <x v="8"/>
    <x v="2"/>
    <x v="3"/>
    <x v="4"/>
    <s v="Bomber Jacket"/>
    <n v="13"/>
    <n v="6590"/>
    <n v="10"/>
    <n v="77103"/>
    <x v="3"/>
    <n v="70513"/>
    <x v="0"/>
  </r>
  <r>
    <s v="WD0141"/>
    <d v="2024-09-06T00:00:00"/>
    <x v="8"/>
    <x v="2"/>
    <x v="3"/>
    <x v="0"/>
    <s v="Handbag"/>
    <n v="11"/>
    <n v="2880"/>
    <n v="25"/>
    <n v="23760"/>
    <x v="3"/>
    <n v="20880"/>
    <x v="0"/>
  </r>
  <r>
    <s v="WD0609"/>
    <d v="2024-09-06T00:00:00"/>
    <x v="8"/>
    <x v="2"/>
    <x v="3"/>
    <x v="5"/>
    <s v="Formal Blue Shirt"/>
    <n v="9"/>
    <n v="1580"/>
    <n v="15"/>
    <n v="12087"/>
    <x v="6"/>
    <n v="10507"/>
    <x v="0"/>
  </r>
  <r>
    <s v="WD0098"/>
    <d v="2024-09-06T00:00:00"/>
    <x v="8"/>
    <x v="2"/>
    <x v="0"/>
    <x v="3"/>
    <s v="Floral Maxi Dress"/>
    <n v="6"/>
    <n v="3470"/>
    <n v="5"/>
    <n v="19779"/>
    <x v="11"/>
    <n v="16309"/>
    <x v="0"/>
  </r>
  <r>
    <s v="WD0630"/>
    <d v="2024-09-06T00:00:00"/>
    <x v="8"/>
    <x v="2"/>
    <x v="3"/>
    <x v="4"/>
    <s v="Blazer"/>
    <n v="13"/>
    <n v="5120"/>
    <n v="10"/>
    <n v="59904"/>
    <x v="3"/>
    <n v="54784"/>
    <x v="0"/>
  </r>
  <r>
    <s v="WD0907"/>
    <d v="2024-09-07T00:00:00"/>
    <x v="8"/>
    <x v="2"/>
    <x v="1"/>
    <x v="1"/>
    <s v="Slim Fit Chinos"/>
    <n v="10"/>
    <n v="2740"/>
    <n v="5"/>
    <n v="26030"/>
    <x v="1"/>
    <n v="23290"/>
    <x v="0"/>
  </r>
  <r>
    <s v="WD0165"/>
    <d v="2024-09-07T00:00:00"/>
    <x v="8"/>
    <x v="2"/>
    <x v="0"/>
    <x v="2"/>
    <s v="Saree"/>
    <n v="11"/>
    <n v="11680"/>
    <n v="0"/>
    <n v="128480"/>
    <x v="0"/>
    <n v="116800"/>
    <x v="0"/>
  </r>
  <r>
    <s v="WD0400"/>
    <d v="2024-09-07T00:00:00"/>
    <x v="8"/>
    <x v="2"/>
    <x v="0"/>
    <x v="4"/>
    <s v="Blazer"/>
    <n v="14"/>
    <n v="4910"/>
    <n v="15"/>
    <n v="58429"/>
    <x v="11"/>
    <n v="53519"/>
    <x v="0"/>
  </r>
  <r>
    <s v="WD0100"/>
    <d v="2024-09-07T00:00:00"/>
    <x v="8"/>
    <x v="2"/>
    <x v="1"/>
    <x v="2"/>
    <s v="Saree"/>
    <n v="12"/>
    <n v="2480"/>
    <n v="15"/>
    <n v="25296"/>
    <x v="10"/>
    <n v="22816"/>
    <x v="0"/>
  </r>
  <r>
    <s v="WD0343"/>
    <d v="2024-09-07T00:00:00"/>
    <x v="8"/>
    <x v="2"/>
    <x v="2"/>
    <x v="0"/>
    <s v="Cap"/>
    <n v="12"/>
    <n v="760"/>
    <n v="20"/>
    <n v="7296"/>
    <x v="5"/>
    <n v="6536"/>
    <x v="0"/>
  </r>
  <r>
    <s v="WD0736"/>
    <d v="2024-09-07T00:00:00"/>
    <x v="8"/>
    <x v="2"/>
    <x v="1"/>
    <x v="4"/>
    <s v="Blazer"/>
    <n v="9"/>
    <n v="5910"/>
    <n v="25"/>
    <n v="39892.5"/>
    <x v="4"/>
    <n v="33982.5"/>
    <x v="0"/>
  </r>
  <r>
    <s v="WD0342"/>
    <d v="2024-09-08T00:00:00"/>
    <x v="8"/>
    <x v="2"/>
    <x v="3"/>
    <x v="3"/>
    <s v="Wrap Dress"/>
    <n v="11"/>
    <n v="5830"/>
    <n v="25"/>
    <n v="48097.5"/>
    <x v="7"/>
    <n v="42267.5"/>
    <x v="0"/>
  </r>
  <r>
    <s v="WD0896"/>
    <d v="2024-09-08T00:00:00"/>
    <x v="8"/>
    <x v="2"/>
    <x v="1"/>
    <x v="4"/>
    <s v="Leather Jacket"/>
    <n v="3"/>
    <n v="6270"/>
    <n v="25"/>
    <n v="14107.5"/>
    <x v="4"/>
    <n v="7837.5"/>
    <x v="0"/>
  </r>
  <r>
    <s v="WD0374"/>
    <d v="2024-09-08T00:00:00"/>
    <x v="8"/>
    <x v="2"/>
    <x v="2"/>
    <x v="4"/>
    <s v="Bomber Jacket"/>
    <n v="12"/>
    <n v="4040"/>
    <n v="25"/>
    <n v="36360"/>
    <x v="9"/>
    <n v="32320"/>
    <x v="0"/>
  </r>
  <r>
    <s v="WD0123"/>
    <d v="2024-09-08T00:00:00"/>
    <x v="8"/>
    <x v="2"/>
    <x v="0"/>
    <x v="3"/>
    <s v="Casual Sundress"/>
    <n v="7"/>
    <n v="5980"/>
    <n v="25"/>
    <n v="31395"/>
    <x v="11"/>
    <n v="25415"/>
    <x v="0"/>
  </r>
  <r>
    <s v="WD0360"/>
    <d v="2024-09-08T00:00:00"/>
    <x v="8"/>
    <x v="2"/>
    <x v="0"/>
    <x v="3"/>
    <s v="Floral Maxi Dress"/>
    <n v="13"/>
    <n v="4170"/>
    <n v="15"/>
    <n v="46078.5"/>
    <x v="11"/>
    <n v="41908.5"/>
    <x v="0"/>
  </r>
  <r>
    <s v="WD0163"/>
    <d v="2024-09-09T00:00:00"/>
    <x v="8"/>
    <x v="2"/>
    <x v="0"/>
    <x v="5"/>
    <s v="Casual Polo"/>
    <n v="1"/>
    <n v="690"/>
    <n v="10"/>
    <n v="621"/>
    <x v="11"/>
    <n v="-69"/>
    <x v="0"/>
  </r>
  <r>
    <s v="WD0820"/>
    <d v="2024-09-09T00:00:00"/>
    <x v="8"/>
    <x v="2"/>
    <x v="3"/>
    <x v="1"/>
    <s v="Cargo Trousers"/>
    <n v="11"/>
    <n v="2200"/>
    <n v="15"/>
    <n v="20570"/>
    <x v="6"/>
    <n v="18370"/>
    <x v="0"/>
  </r>
  <r>
    <s v="WD0402"/>
    <d v="2024-09-10T00:00:00"/>
    <x v="8"/>
    <x v="2"/>
    <x v="2"/>
    <x v="2"/>
    <s v="Sherwani"/>
    <n v="8"/>
    <n v="3430"/>
    <n v="20"/>
    <n v="21952"/>
    <x v="9"/>
    <n v="18522"/>
    <x v="0"/>
  </r>
  <r>
    <s v="WD0559"/>
    <d v="2024-09-11T00:00:00"/>
    <x v="8"/>
    <x v="2"/>
    <x v="3"/>
    <x v="0"/>
    <s v="Handbag"/>
    <n v="1"/>
    <n v="1100"/>
    <n v="20"/>
    <n v="880"/>
    <x v="6"/>
    <n v="-220"/>
    <x v="0"/>
  </r>
  <r>
    <s v="WD0273"/>
    <d v="2024-09-12T00:00:00"/>
    <x v="8"/>
    <x v="2"/>
    <x v="3"/>
    <x v="1"/>
    <s v="Formal Black Trousers"/>
    <n v="9"/>
    <n v="2140"/>
    <n v="15"/>
    <n v="16371"/>
    <x v="7"/>
    <n v="14231"/>
    <x v="0"/>
  </r>
  <r>
    <s v="WD0585"/>
    <d v="2024-09-12T00:00:00"/>
    <x v="8"/>
    <x v="2"/>
    <x v="1"/>
    <x v="4"/>
    <s v="Blazer"/>
    <n v="9"/>
    <n v="6610"/>
    <n v="5"/>
    <n v="56515.5"/>
    <x v="4"/>
    <n v="49905.5"/>
    <x v="0"/>
  </r>
  <r>
    <s v="WD0723"/>
    <d v="2024-09-12T00:00:00"/>
    <x v="8"/>
    <x v="2"/>
    <x v="2"/>
    <x v="5"/>
    <s v="Striped Shirt"/>
    <n v="7"/>
    <n v="1010"/>
    <n v="10"/>
    <n v="6363"/>
    <x v="2"/>
    <n v="5353"/>
    <x v="0"/>
  </r>
  <r>
    <s v="WD0809"/>
    <d v="2024-09-12T00:00:00"/>
    <x v="8"/>
    <x v="2"/>
    <x v="1"/>
    <x v="2"/>
    <s v="Sherwani"/>
    <n v="8"/>
    <n v="1640"/>
    <n v="30"/>
    <n v="9184"/>
    <x v="10"/>
    <n v="7544"/>
    <x v="0"/>
  </r>
  <r>
    <s v="WD0868"/>
    <d v="2024-09-12T00:00:00"/>
    <x v="8"/>
    <x v="2"/>
    <x v="3"/>
    <x v="1"/>
    <s v="Formal Black Trousers"/>
    <n v="1"/>
    <n v="1950"/>
    <n v="20"/>
    <n v="1560"/>
    <x v="3"/>
    <n v="-390"/>
    <x v="0"/>
  </r>
  <r>
    <s v="WD0782"/>
    <d v="2024-09-13T00:00:00"/>
    <x v="8"/>
    <x v="2"/>
    <x v="3"/>
    <x v="0"/>
    <s v="Cap"/>
    <n v="5"/>
    <n v="1260"/>
    <n v="5"/>
    <n v="5985"/>
    <x v="7"/>
    <n v="4725"/>
    <x v="0"/>
  </r>
  <r>
    <s v="WD0435"/>
    <d v="2024-09-13T00:00:00"/>
    <x v="8"/>
    <x v="2"/>
    <x v="1"/>
    <x v="5"/>
    <s v="Striped Shirt"/>
    <n v="11"/>
    <n v="1560"/>
    <n v="25"/>
    <n v="12870"/>
    <x v="1"/>
    <n v="11310"/>
    <x v="0"/>
  </r>
  <r>
    <s v="WD0950"/>
    <d v="2024-09-14T00:00:00"/>
    <x v="8"/>
    <x v="2"/>
    <x v="2"/>
    <x v="0"/>
    <s v="Silk Scarf"/>
    <n v="15"/>
    <n v="1160"/>
    <n v="10"/>
    <n v="15660"/>
    <x v="9"/>
    <n v="14500"/>
    <x v="0"/>
  </r>
  <r>
    <s v="WD0038"/>
    <d v="2024-09-14T00:00:00"/>
    <x v="8"/>
    <x v="2"/>
    <x v="1"/>
    <x v="0"/>
    <s v="Cap"/>
    <n v="10"/>
    <n v="450"/>
    <n v="15"/>
    <n v="3825"/>
    <x v="10"/>
    <n v="3375"/>
    <x v="0"/>
  </r>
  <r>
    <s v="WD0348"/>
    <d v="2024-09-14T00:00:00"/>
    <x v="8"/>
    <x v="2"/>
    <x v="1"/>
    <x v="2"/>
    <s v="Sherwani"/>
    <n v="5"/>
    <n v="7660"/>
    <n v="0"/>
    <n v="38300"/>
    <x v="10"/>
    <n v="30640"/>
    <x v="0"/>
  </r>
  <r>
    <s v="WD0573"/>
    <d v="2024-09-15T00:00:00"/>
    <x v="8"/>
    <x v="2"/>
    <x v="2"/>
    <x v="2"/>
    <s v="Kurta Set"/>
    <n v="15"/>
    <n v="1630"/>
    <n v="5"/>
    <n v="23227.5"/>
    <x v="2"/>
    <n v="21597.5"/>
    <x v="0"/>
  </r>
  <r>
    <s v="WD0653"/>
    <d v="2024-09-15T00:00:00"/>
    <x v="8"/>
    <x v="2"/>
    <x v="0"/>
    <x v="4"/>
    <s v="Leather Jacket"/>
    <n v="4"/>
    <n v="2760"/>
    <n v="20"/>
    <n v="8832"/>
    <x v="0"/>
    <n v="6072"/>
    <x v="0"/>
  </r>
  <r>
    <s v="WD0522"/>
    <d v="2024-09-15T00:00:00"/>
    <x v="8"/>
    <x v="2"/>
    <x v="3"/>
    <x v="0"/>
    <s v="Silk Scarf"/>
    <n v="14"/>
    <n v="1040"/>
    <n v="15"/>
    <n v="12376"/>
    <x v="7"/>
    <n v="11336"/>
    <x v="0"/>
  </r>
  <r>
    <s v="WD0632"/>
    <d v="2024-09-16T00:00:00"/>
    <x v="8"/>
    <x v="2"/>
    <x v="2"/>
    <x v="3"/>
    <s v="Floral Maxi Dress"/>
    <n v="15"/>
    <n v="4640"/>
    <n v="0"/>
    <n v="69600"/>
    <x v="9"/>
    <n v="64960"/>
    <x v="0"/>
  </r>
  <r>
    <s v="WD0234"/>
    <d v="2024-09-16T00:00:00"/>
    <x v="8"/>
    <x v="2"/>
    <x v="1"/>
    <x v="2"/>
    <s v="Sherwani"/>
    <n v="9"/>
    <n v="2280"/>
    <n v="20"/>
    <n v="16416"/>
    <x v="10"/>
    <n v="14136"/>
    <x v="0"/>
  </r>
  <r>
    <s v="WD0131"/>
    <d v="2024-09-17T00:00:00"/>
    <x v="8"/>
    <x v="2"/>
    <x v="1"/>
    <x v="0"/>
    <s v="Silk Scarf"/>
    <n v="12"/>
    <n v="1640"/>
    <n v="10"/>
    <n v="17712"/>
    <x v="10"/>
    <n v="16072"/>
    <x v="0"/>
  </r>
  <r>
    <s v="WD0315"/>
    <d v="2024-09-18T00:00:00"/>
    <x v="8"/>
    <x v="2"/>
    <x v="0"/>
    <x v="5"/>
    <s v="Casual Polo"/>
    <n v="8"/>
    <n v="1960"/>
    <n v="0"/>
    <n v="15680"/>
    <x v="8"/>
    <n v="13720"/>
    <x v="0"/>
  </r>
  <r>
    <s v="WD0382"/>
    <d v="2024-09-18T00:00:00"/>
    <x v="8"/>
    <x v="2"/>
    <x v="3"/>
    <x v="4"/>
    <s v="Denim Jacket"/>
    <n v="5"/>
    <n v="2070"/>
    <n v="5"/>
    <n v="9832.5"/>
    <x v="3"/>
    <n v="7762.5"/>
    <x v="0"/>
  </r>
  <r>
    <s v="WD0174"/>
    <d v="2024-09-19T00:00:00"/>
    <x v="8"/>
    <x v="2"/>
    <x v="1"/>
    <x v="0"/>
    <s v="Leather Belt"/>
    <n v="13"/>
    <n v="1580"/>
    <n v="10"/>
    <n v="18486"/>
    <x v="10"/>
    <n v="16906"/>
    <x v="0"/>
  </r>
  <r>
    <s v="WD0676"/>
    <d v="2024-09-19T00:00:00"/>
    <x v="8"/>
    <x v="2"/>
    <x v="1"/>
    <x v="2"/>
    <s v="Kurta Set"/>
    <n v="6"/>
    <n v="7290"/>
    <n v="0"/>
    <n v="43740"/>
    <x v="1"/>
    <n v="36450"/>
    <x v="0"/>
  </r>
  <r>
    <s v="WD0986"/>
    <d v="2024-09-20T00:00:00"/>
    <x v="8"/>
    <x v="2"/>
    <x v="3"/>
    <x v="5"/>
    <s v="Formal Blue Shirt"/>
    <n v="11"/>
    <n v="1150"/>
    <n v="0"/>
    <n v="12650"/>
    <x v="6"/>
    <n v="11500"/>
    <x v="0"/>
  </r>
  <r>
    <s v="WD0900"/>
    <d v="2024-09-20T00:00:00"/>
    <x v="8"/>
    <x v="2"/>
    <x v="3"/>
    <x v="1"/>
    <s v="Jogger Pants"/>
    <n v="10"/>
    <n v="3240"/>
    <n v="0"/>
    <n v="32400"/>
    <x v="3"/>
    <n v="29160"/>
    <x v="0"/>
  </r>
  <r>
    <s v="WD0718"/>
    <d v="2024-09-21T00:00:00"/>
    <x v="8"/>
    <x v="2"/>
    <x v="0"/>
    <x v="1"/>
    <s v="Jogger Pants"/>
    <n v="11"/>
    <n v="1010"/>
    <n v="5"/>
    <n v="10554.5"/>
    <x v="0"/>
    <n v="9544.5"/>
    <x v="0"/>
  </r>
  <r>
    <s v="WD0642"/>
    <d v="2024-09-21T00:00:00"/>
    <x v="8"/>
    <x v="2"/>
    <x v="0"/>
    <x v="3"/>
    <s v="Floral Maxi Dress"/>
    <n v="7"/>
    <n v="3580"/>
    <n v="5"/>
    <n v="23807"/>
    <x v="8"/>
    <n v="20227"/>
    <x v="0"/>
  </r>
  <r>
    <s v="WD0801"/>
    <d v="2024-09-21T00:00:00"/>
    <x v="8"/>
    <x v="2"/>
    <x v="2"/>
    <x v="4"/>
    <s v="Bomber Jacket"/>
    <n v="1"/>
    <n v="6290"/>
    <n v="25"/>
    <n v="4717.5"/>
    <x v="5"/>
    <n v="-1572.5"/>
    <x v="0"/>
  </r>
  <r>
    <s v="WD0670"/>
    <d v="2024-09-22T00:00:00"/>
    <x v="8"/>
    <x v="2"/>
    <x v="0"/>
    <x v="5"/>
    <s v="Casual Polo"/>
    <n v="15"/>
    <n v="2220"/>
    <n v="30"/>
    <n v="23310"/>
    <x v="8"/>
    <n v="21090"/>
    <x v="0"/>
  </r>
  <r>
    <s v="WD0243"/>
    <d v="2024-09-22T00:00:00"/>
    <x v="8"/>
    <x v="2"/>
    <x v="3"/>
    <x v="1"/>
    <s v="Cargo Trousers"/>
    <n v="6"/>
    <n v="2670"/>
    <n v="30"/>
    <n v="11214"/>
    <x v="7"/>
    <n v="8544"/>
    <x v="0"/>
  </r>
  <r>
    <s v="WD0385"/>
    <d v="2024-09-23T00:00:00"/>
    <x v="8"/>
    <x v="2"/>
    <x v="2"/>
    <x v="3"/>
    <s v="Evening Gown"/>
    <n v="13"/>
    <n v="2710"/>
    <n v="5"/>
    <n v="33468.5"/>
    <x v="2"/>
    <n v="30758.5"/>
    <x v="0"/>
  </r>
  <r>
    <s v="WD0549"/>
    <d v="2024-09-23T00:00:00"/>
    <x v="8"/>
    <x v="2"/>
    <x v="1"/>
    <x v="5"/>
    <s v="Formal Blue Shirt"/>
    <n v="8"/>
    <n v="2400"/>
    <n v="25"/>
    <n v="14400"/>
    <x v="10"/>
    <n v="12000"/>
    <x v="0"/>
  </r>
  <r>
    <s v="WD0836"/>
    <d v="2024-09-24T00:00:00"/>
    <x v="8"/>
    <x v="2"/>
    <x v="2"/>
    <x v="1"/>
    <s v="Slim Fit Chinos"/>
    <n v="12"/>
    <n v="2040"/>
    <n v="30"/>
    <n v="17136"/>
    <x v="5"/>
    <n v="15096"/>
    <x v="0"/>
  </r>
  <r>
    <s v="WD0558"/>
    <d v="2024-09-24T00:00:00"/>
    <x v="8"/>
    <x v="2"/>
    <x v="1"/>
    <x v="4"/>
    <s v="Leather Jacket"/>
    <n v="13"/>
    <n v="6260"/>
    <n v="10"/>
    <n v="73242"/>
    <x v="4"/>
    <n v="66982"/>
    <x v="0"/>
  </r>
  <r>
    <s v="WD0920"/>
    <d v="2024-09-24T00:00:00"/>
    <x v="8"/>
    <x v="2"/>
    <x v="0"/>
    <x v="0"/>
    <s v="Silk Scarf"/>
    <n v="11"/>
    <n v="860"/>
    <n v="10"/>
    <n v="8514"/>
    <x v="8"/>
    <n v="7654"/>
    <x v="0"/>
  </r>
  <r>
    <s v="WD0041"/>
    <d v="2024-09-24T00:00:00"/>
    <x v="8"/>
    <x v="2"/>
    <x v="1"/>
    <x v="2"/>
    <s v="Kurta Set"/>
    <n v="10"/>
    <n v="6320"/>
    <n v="20"/>
    <n v="50560"/>
    <x v="1"/>
    <n v="44240"/>
    <x v="0"/>
  </r>
  <r>
    <s v="WD0603"/>
    <d v="2024-09-26T00:00:00"/>
    <x v="8"/>
    <x v="2"/>
    <x v="3"/>
    <x v="4"/>
    <s v="Bomber Jacket"/>
    <n v="12"/>
    <n v="2510"/>
    <n v="10"/>
    <n v="27108"/>
    <x v="6"/>
    <n v="24598"/>
    <x v="0"/>
  </r>
  <r>
    <s v="WD0817"/>
    <d v="2024-09-26T00:00:00"/>
    <x v="8"/>
    <x v="2"/>
    <x v="0"/>
    <x v="1"/>
    <s v="Slim Fit Chinos"/>
    <n v="5"/>
    <n v="2670"/>
    <n v="10"/>
    <n v="12015"/>
    <x v="8"/>
    <n v="9345"/>
    <x v="0"/>
  </r>
  <r>
    <s v="WD0709"/>
    <d v="2024-09-26T00:00:00"/>
    <x v="8"/>
    <x v="2"/>
    <x v="2"/>
    <x v="0"/>
    <s v="Cap"/>
    <n v="3"/>
    <n v="1500"/>
    <n v="5"/>
    <n v="4275"/>
    <x v="5"/>
    <n v="2775"/>
    <x v="0"/>
  </r>
  <r>
    <s v="WD0748"/>
    <d v="2024-09-26T00:00:00"/>
    <x v="8"/>
    <x v="2"/>
    <x v="1"/>
    <x v="5"/>
    <s v="Casual Polo"/>
    <n v="4"/>
    <n v="1610"/>
    <n v="5"/>
    <n v="6118"/>
    <x v="10"/>
    <n v="4508"/>
    <x v="0"/>
  </r>
  <r>
    <s v="WD0321"/>
    <d v="2024-09-27T00:00:00"/>
    <x v="8"/>
    <x v="2"/>
    <x v="2"/>
    <x v="0"/>
    <s v="Cap"/>
    <n v="9"/>
    <n v="620"/>
    <n v="15"/>
    <n v="4743"/>
    <x v="5"/>
    <n v="4123"/>
    <x v="0"/>
  </r>
  <r>
    <s v="WD0024"/>
    <d v="2024-09-27T00:00:00"/>
    <x v="8"/>
    <x v="2"/>
    <x v="2"/>
    <x v="1"/>
    <s v="Cargo Trousers"/>
    <n v="3"/>
    <n v="3360"/>
    <n v="10"/>
    <n v="9072"/>
    <x v="9"/>
    <n v="5712"/>
    <x v="0"/>
  </r>
  <r>
    <s v="WD0432"/>
    <d v="2024-09-27T00:00:00"/>
    <x v="8"/>
    <x v="2"/>
    <x v="0"/>
    <x v="5"/>
    <s v="Casual Polo"/>
    <n v="10"/>
    <n v="1550"/>
    <n v="0"/>
    <n v="15500"/>
    <x v="11"/>
    <n v="13950"/>
    <x v="0"/>
  </r>
  <r>
    <s v="WD0017"/>
    <d v="2024-09-27T00:00:00"/>
    <x v="8"/>
    <x v="2"/>
    <x v="0"/>
    <x v="2"/>
    <s v="Kurta Set"/>
    <n v="10"/>
    <n v="5920"/>
    <n v="15"/>
    <n v="50320"/>
    <x v="8"/>
    <n v="44400"/>
    <x v="0"/>
  </r>
  <r>
    <s v="WD0656"/>
    <d v="2024-09-28T00:00:00"/>
    <x v="8"/>
    <x v="2"/>
    <x v="0"/>
    <x v="2"/>
    <s v="Lehenga"/>
    <n v="1"/>
    <n v="5760"/>
    <n v="25"/>
    <n v="4320"/>
    <x v="8"/>
    <n v="-1440"/>
    <x v="0"/>
  </r>
  <r>
    <s v="WD0156"/>
    <d v="2024-09-28T00:00:00"/>
    <x v="8"/>
    <x v="2"/>
    <x v="0"/>
    <x v="1"/>
    <s v="Formal Black Trousers"/>
    <n v="9"/>
    <n v="1160"/>
    <n v="10"/>
    <n v="9396"/>
    <x v="0"/>
    <n v="8236"/>
    <x v="0"/>
  </r>
  <r>
    <s v="WD0021"/>
    <d v="2024-09-28T00:00:00"/>
    <x v="8"/>
    <x v="2"/>
    <x v="2"/>
    <x v="1"/>
    <s v="Jogger Pants"/>
    <n v="9"/>
    <n v="2860"/>
    <n v="30"/>
    <n v="18018"/>
    <x v="5"/>
    <n v="15158"/>
    <x v="0"/>
  </r>
  <r>
    <s v="WD0290"/>
    <d v="2024-09-29T00:00:00"/>
    <x v="8"/>
    <x v="2"/>
    <x v="0"/>
    <x v="2"/>
    <s v="Lehenga"/>
    <n v="3"/>
    <n v="5110"/>
    <n v="15"/>
    <n v="13030.5"/>
    <x v="8"/>
    <n v="7920.5"/>
    <x v="0"/>
  </r>
  <r>
    <s v="WD0830"/>
    <d v="2024-09-30T00:00:00"/>
    <x v="8"/>
    <x v="2"/>
    <x v="2"/>
    <x v="3"/>
    <s v="Floral Maxi Dress"/>
    <n v="7"/>
    <n v="2690"/>
    <n v="25"/>
    <n v="14122.5"/>
    <x v="5"/>
    <n v="11432.5"/>
    <x v="0"/>
  </r>
  <r>
    <s v="WD0910"/>
    <d v="2024-10-01T00:00:00"/>
    <x v="9"/>
    <x v="3"/>
    <x v="2"/>
    <x v="0"/>
    <s v="Handbag"/>
    <n v="14"/>
    <n v="2840"/>
    <n v="30"/>
    <n v="27832"/>
    <x v="5"/>
    <n v="24992"/>
    <x v="0"/>
  </r>
  <r>
    <s v="WD0062"/>
    <d v="2024-10-02T00:00:00"/>
    <x v="9"/>
    <x v="3"/>
    <x v="2"/>
    <x v="3"/>
    <s v="Floral Maxi Dress"/>
    <n v="1"/>
    <n v="4540"/>
    <n v="20"/>
    <n v="3632"/>
    <x v="9"/>
    <n v="-908"/>
    <x v="0"/>
  </r>
  <r>
    <s v="WD0312"/>
    <d v="2024-10-02T00:00:00"/>
    <x v="9"/>
    <x v="3"/>
    <x v="2"/>
    <x v="4"/>
    <s v="Bomber Jacket"/>
    <n v="9"/>
    <n v="4910"/>
    <n v="15"/>
    <n v="37561.5"/>
    <x v="9"/>
    <n v="32651.5"/>
    <x v="0"/>
  </r>
  <r>
    <s v="WD0655"/>
    <d v="2024-10-03T00:00:00"/>
    <x v="9"/>
    <x v="3"/>
    <x v="1"/>
    <x v="5"/>
    <s v="Striped Shirt"/>
    <n v="15"/>
    <n v="1850"/>
    <n v="20"/>
    <n v="22200"/>
    <x v="4"/>
    <n v="20350"/>
    <x v="0"/>
  </r>
  <r>
    <s v="WD0842"/>
    <d v="2024-10-03T00:00:00"/>
    <x v="9"/>
    <x v="3"/>
    <x v="2"/>
    <x v="1"/>
    <s v="Slim Fit Chinos"/>
    <n v="15"/>
    <n v="1640"/>
    <n v="10"/>
    <n v="22140"/>
    <x v="2"/>
    <n v="20500"/>
    <x v="0"/>
  </r>
  <r>
    <s v="WD0171"/>
    <d v="2024-10-03T00:00:00"/>
    <x v="9"/>
    <x v="3"/>
    <x v="2"/>
    <x v="2"/>
    <s v="Kurta Set"/>
    <n v="3"/>
    <n v="4690"/>
    <n v="5"/>
    <n v="13366.5"/>
    <x v="2"/>
    <n v="8676.5"/>
    <x v="0"/>
  </r>
  <r>
    <s v="WD0086"/>
    <d v="2024-10-03T00:00:00"/>
    <x v="9"/>
    <x v="3"/>
    <x v="3"/>
    <x v="4"/>
    <s v="Bomber Jacket"/>
    <n v="8"/>
    <n v="7840"/>
    <n v="0"/>
    <n v="62720"/>
    <x v="6"/>
    <n v="54880"/>
    <x v="0"/>
  </r>
  <r>
    <s v="WD0497"/>
    <d v="2024-10-03T00:00:00"/>
    <x v="9"/>
    <x v="3"/>
    <x v="3"/>
    <x v="1"/>
    <s v="Formal Black Trousers"/>
    <n v="9"/>
    <n v="1900"/>
    <n v="25"/>
    <n v="12825"/>
    <x v="7"/>
    <n v="10925"/>
    <x v="0"/>
  </r>
  <r>
    <s v="WD0685"/>
    <d v="2024-10-04T00:00:00"/>
    <x v="9"/>
    <x v="3"/>
    <x v="1"/>
    <x v="0"/>
    <s v="Handbag"/>
    <n v="13"/>
    <n v="1960"/>
    <n v="30"/>
    <n v="17836"/>
    <x v="4"/>
    <n v="15876"/>
    <x v="0"/>
  </r>
  <r>
    <s v="WD0738"/>
    <d v="2024-10-04T00:00:00"/>
    <x v="9"/>
    <x v="3"/>
    <x v="2"/>
    <x v="5"/>
    <s v="Casual Polo"/>
    <n v="14"/>
    <n v="1450"/>
    <n v="10"/>
    <n v="18270"/>
    <x v="2"/>
    <n v="16820"/>
    <x v="0"/>
  </r>
  <r>
    <s v="WD0452"/>
    <d v="2024-10-04T00:00:00"/>
    <x v="9"/>
    <x v="3"/>
    <x v="2"/>
    <x v="1"/>
    <s v="Slim Fit Chinos"/>
    <n v="1"/>
    <n v="3320"/>
    <n v="5"/>
    <n v="3154"/>
    <x v="2"/>
    <n v="-166"/>
    <x v="0"/>
  </r>
  <r>
    <s v="WD0504"/>
    <d v="2024-10-04T00:00:00"/>
    <x v="9"/>
    <x v="3"/>
    <x v="1"/>
    <x v="1"/>
    <s v="Slim Fit Chinos"/>
    <n v="6"/>
    <n v="1030"/>
    <n v="30"/>
    <n v="4326"/>
    <x v="1"/>
    <n v="3296"/>
    <x v="0"/>
  </r>
  <r>
    <s v="WD0786"/>
    <d v="2024-10-04T00:00:00"/>
    <x v="9"/>
    <x v="3"/>
    <x v="3"/>
    <x v="4"/>
    <s v="Leather Jacket"/>
    <n v="3"/>
    <n v="3450"/>
    <n v="20"/>
    <n v="8280"/>
    <x v="3"/>
    <n v="4830"/>
    <x v="0"/>
  </r>
  <r>
    <s v="WD0322"/>
    <d v="2024-10-05T00:00:00"/>
    <x v="9"/>
    <x v="3"/>
    <x v="2"/>
    <x v="5"/>
    <s v="Classic White Shirt"/>
    <n v="8"/>
    <n v="2460"/>
    <n v="25"/>
    <n v="14760"/>
    <x v="2"/>
    <n v="12300"/>
    <x v="0"/>
  </r>
  <r>
    <s v="WD0355"/>
    <d v="2024-10-05T00:00:00"/>
    <x v="9"/>
    <x v="3"/>
    <x v="0"/>
    <x v="3"/>
    <s v="Floral Maxi Dress"/>
    <n v="11"/>
    <n v="5620"/>
    <n v="10"/>
    <n v="55638"/>
    <x v="0"/>
    <n v="50018"/>
    <x v="0"/>
  </r>
  <r>
    <s v="WD0604"/>
    <d v="2024-10-05T00:00:00"/>
    <x v="9"/>
    <x v="3"/>
    <x v="2"/>
    <x v="2"/>
    <s v="Kurta Set"/>
    <n v="3"/>
    <n v="10540"/>
    <n v="15"/>
    <n v="26877"/>
    <x v="9"/>
    <n v="16337"/>
    <x v="0"/>
  </r>
  <r>
    <s v="WD0774"/>
    <d v="2024-10-06T00:00:00"/>
    <x v="9"/>
    <x v="3"/>
    <x v="1"/>
    <x v="3"/>
    <s v="Casual Sundress"/>
    <n v="4"/>
    <n v="4700"/>
    <n v="5"/>
    <n v="17860"/>
    <x v="10"/>
    <n v="13160"/>
    <x v="0"/>
  </r>
  <r>
    <s v="WD0554"/>
    <d v="2024-10-07T00:00:00"/>
    <x v="9"/>
    <x v="3"/>
    <x v="1"/>
    <x v="5"/>
    <s v="Classic White Shirt"/>
    <n v="7"/>
    <n v="1390"/>
    <n v="0"/>
    <n v="9730"/>
    <x v="1"/>
    <n v="8340"/>
    <x v="0"/>
  </r>
  <r>
    <s v="WD0811"/>
    <d v="2024-10-07T00:00:00"/>
    <x v="9"/>
    <x v="3"/>
    <x v="0"/>
    <x v="4"/>
    <s v="Denim Jacket"/>
    <n v="1"/>
    <n v="6210"/>
    <n v="5"/>
    <n v="5899.5"/>
    <x v="8"/>
    <n v="-310.5"/>
    <x v="0"/>
  </r>
  <r>
    <s v="WD0581"/>
    <d v="2024-10-07T00:00:00"/>
    <x v="9"/>
    <x v="3"/>
    <x v="1"/>
    <x v="3"/>
    <s v="Evening Gown"/>
    <n v="13"/>
    <n v="5150"/>
    <n v="10"/>
    <n v="60255"/>
    <x v="10"/>
    <n v="55105"/>
    <x v="0"/>
  </r>
  <r>
    <s v="WD0716"/>
    <d v="2024-10-07T00:00:00"/>
    <x v="9"/>
    <x v="3"/>
    <x v="1"/>
    <x v="4"/>
    <s v="Bomber Jacket"/>
    <n v="13"/>
    <n v="6180"/>
    <n v="0"/>
    <n v="80340"/>
    <x v="1"/>
    <n v="74160"/>
    <x v="0"/>
  </r>
  <r>
    <s v="WD0125"/>
    <d v="2024-10-08T00:00:00"/>
    <x v="9"/>
    <x v="3"/>
    <x v="0"/>
    <x v="0"/>
    <s v="Handbag"/>
    <n v="7"/>
    <n v="1080"/>
    <n v="30"/>
    <n v="5292"/>
    <x v="11"/>
    <n v="4212"/>
    <x v="0"/>
  </r>
  <r>
    <s v="WD0498"/>
    <d v="2024-10-08T00:00:00"/>
    <x v="9"/>
    <x v="3"/>
    <x v="3"/>
    <x v="3"/>
    <s v="Casual Sundress"/>
    <n v="7"/>
    <n v="1480"/>
    <n v="20"/>
    <n v="8288"/>
    <x v="7"/>
    <n v="6808"/>
    <x v="0"/>
  </r>
  <r>
    <s v="WD0728"/>
    <d v="2024-10-08T00:00:00"/>
    <x v="9"/>
    <x v="3"/>
    <x v="3"/>
    <x v="3"/>
    <s v="Casual Sundress"/>
    <n v="1"/>
    <n v="4140"/>
    <n v="25"/>
    <n v="3105"/>
    <x v="3"/>
    <n v="-1035"/>
    <x v="0"/>
  </r>
  <r>
    <s v="WD0278"/>
    <d v="2024-10-08T00:00:00"/>
    <x v="9"/>
    <x v="3"/>
    <x v="3"/>
    <x v="2"/>
    <s v="Sherwani"/>
    <n v="9"/>
    <n v="2340"/>
    <n v="15"/>
    <n v="17901"/>
    <x v="7"/>
    <n v="15561"/>
    <x v="0"/>
  </r>
  <r>
    <s v="WD0753"/>
    <d v="2024-10-08T00:00:00"/>
    <x v="9"/>
    <x v="3"/>
    <x v="3"/>
    <x v="2"/>
    <s v="Saree"/>
    <n v="4"/>
    <n v="7980"/>
    <n v="15"/>
    <n v="27132"/>
    <x v="3"/>
    <n v="19152"/>
    <x v="0"/>
  </r>
  <r>
    <s v="WD0128"/>
    <d v="2024-10-08T00:00:00"/>
    <x v="9"/>
    <x v="3"/>
    <x v="0"/>
    <x v="0"/>
    <s v="Handbag"/>
    <n v="4"/>
    <n v="2350"/>
    <n v="10"/>
    <n v="8460"/>
    <x v="11"/>
    <n v="6110"/>
    <x v="0"/>
  </r>
  <r>
    <s v="WD0132"/>
    <d v="2024-10-09T00:00:00"/>
    <x v="9"/>
    <x v="3"/>
    <x v="3"/>
    <x v="4"/>
    <s v="Blazer"/>
    <n v="4"/>
    <n v="8860"/>
    <n v="15"/>
    <n v="30124"/>
    <x v="6"/>
    <n v="21264"/>
    <x v="0"/>
  </r>
  <r>
    <s v="WD0135"/>
    <d v="2024-10-09T00:00:00"/>
    <x v="9"/>
    <x v="3"/>
    <x v="0"/>
    <x v="1"/>
    <s v="Cargo Trousers"/>
    <n v="6"/>
    <n v="2250"/>
    <n v="10"/>
    <n v="12150"/>
    <x v="0"/>
    <n v="9900"/>
    <x v="0"/>
  </r>
  <r>
    <s v="WD0260"/>
    <d v="2024-10-09T00:00:00"/>
    <x v="9"/>
    <x v="3"/>
    <x v="0"/>
    <x v="0"/>
    <s v="Cap"/>
    <n v="14"/>
    <n v="650"/>
    <n v="30"/>
    <n v="6370"/>
    <x v="0"/>
    <n v="5720"/>
    <x v="0"/>
  </r>
  <r>
    <s v="WD0007"/>
    <d v="2024-10-09T00:00:00"/>
    <x v="9"/>
    <x v="3"/>
    <x v="0"/>
    <x v="2"/>
    <s v="Kurta Set"/>
    <n v="7"/>
    <n v="12690"/>
    <n v="0"/>
    <n v="88830"/>
    <x v="8"/>
    <n v="76140"/>
    <x v="0"/>
  </r>
  <r>
    <s v="WD0509"/>
    <d v="2024-10-09T00:00:00"/>
    <x v="9"/>
    <x v="3"/>
    <x v="3"/>
    <x v="3"/>
    <s v="Floral Maxi Dress"/>
    <n v="9"/>
    <n v="1430"/>
    <n v="15"/>
    <n v="10939.5"/>
    <x v="7"/>
    <n v="9509.5"/>
    <x v="0"/>
  </r>
  <r>
    <s v="WD0633"/>
    <d v="2024-10-09T00:00:00"/>
    <x v="9"/>
    <x v="3"/>
    <x v="1"/>
    <x v="2"/>
    <s v="Lehenga"/>
    <n v="4"/>
    <n v="10340"/>
    <n v="0"/>
    <n v="41360"/>
    <x v="1"/>
    <n v="31020"/>
    <x v="0"/>
  </r>
  <r>
    <s v="WD0828"/>
    <d v="2024-10-11T00:00:00"/>
    <x v="9"/>
    <x v="3"/>
    <x v="1"/>
    <x v="2"/>
    <s v="Sherwani"/>
    <n v="11"/>
    <n v="8000"/>
    <n v="10"/>
    <n v="79200"/>
    <x v="10"/>
    <n v="71200"/>
    <x v="0"/>
  </r>
  <r>
    <s v="WD0328"/>
    <d v="2024-10-12T00:00:00"/>
    <x v="9"/>
    <x v="3"/>
    <x v="3"/>
    <x v="1"/>
    <s v="Formal Black Trousers"/>
    <n v="5"/>
    <n v="1920"/>
    <n v="0"/>
    <n v="9600"/>
    <x v="3"/>
    <n v="7680"/>
    <x v="0"/>
  </r>
  <r>
    <s v="WD0536"/>
    <d v="2024-10-12T00:00:00"/>
    <x v="9"/>
    <x v="3"/>
    <x v="3"/>
    <x v="2"/>
    <s v="Sherwani"/>
    <n v="14"/>
    <n v="11220"/>
    <n v="25"/>
    <n v="117810"/>
    <x v="6"/>
    <n v="106590"/>
    <x v="0"/>
  </r>
  <r>
    <s v="WD0698"/>
    <d v="2024-10-12T00:00:00"/>
    <x v="9"/>
    <x v="3"/>
    <x v="1"/>
    <x v="4"/>
    <s v="Bomber Jacket"/>
    <n v="6"/>
    <n v="3820"/>
    <n v="20"/>
    <n v="18336"/>
    <x v="1"/>
    <n v="14516"/>
    <x v="0"/>
  </r>
  <r>
    <s v="WD0577"/>
    <d v="2024-10-12T00:00:00"/>
    <x v="9"/>
    <x v="3"/>
    <x v="0"/>
    <x v="0"/>
    <s v="Leather Belt"/>
    <n v="7"/>
    <n v="580"/>
    <n v="0"/>
    <n v="4060"/>
    <x v="0"/>
    <n v="3480"/>
    <x v="0"/>
  </r>
  <r>
    <s v="WD0279"/>
    <d v="2024-10-12T00:00:00"/>
    <x v="9"/>
    <x v="3"/>
    <x v="1"/>
    <x v="1"/>
    <s v="Slim Fit Chinos"/>
    <n v="13"/>
    <n v="1860"/>
    <n v="10"/>
    <n v="21762"/>
    <x v="1"/>
    <n v="19902"/>
    <x v="0"/>
  </r>
  <r>
    <s v="WD0979"/>
    <d v="2024-10-13T00:00:00"/>
    <x v="9"/>
    <x v="3"/>
    <x v="0"/>
    <x v="5"/>
    <s v="Formal Blue Shirt"/>
    <n v="5"/>
    <n v="2180"/>
    <n v="15"/>
    <n v="9265"/>
    <x v="0"/>
    <n v="7085"/>
    <x v="0"/>
  </r>
  <r>
    <s v="WD0990"/>
    <d v="2024-10-13T00:00:00"/>
    <x v="9"/>
    <x v="3"/>
    <x v="1"/>
    <x v="1"/>
    <s v="Formal Black Trousers"/>
    <n v="14"/>
    <n v="2160"/>
    <n v="5"/>
    <n v="28728"/>
    <x v="10"/>
    <n v="26568"/>
    <x v="0"/>
  </r>
  <r>
    <s v="WD0537"/>
    <d v="2024-10-13T00:00:00"/>
    <x v="9"/>
    <x v="3"/>
    <x v="3"/>
    <x v="5"/>
    <s v="Striped Shirt"/>
    <n v="5"/>
    <n v="840"/>
    <n v="25"/>
    <n v="3150"/>
    <x v="6"/>
    <n v="2310"/>
    <x v="0"/>
  </r>
  <r>
    <s v="WD0053"/>
    <d v="2024-10-13T00:00:00"/>
    <x v="9"/>
    <x v="3"/>
    <x v="2"/>
    <x v="0"/>
    <s v="Silk Scarf"/>
    <n v="6"/>
    <n v="2100"/>
    <n v="30"/>
    <n v="8820"/>
    <x v="2"/>
    <n v="6720"/>
    <x v="0"/>
  </r>
  <r>
    <s v="WD0289"/>
    <d v="2024-10-14T00:00:00"/>
    <x v="9"/>
    <x v="3"/>
    <x v="0"/>
    <x v="0"/>
    <s v="Leather Belt"/>
    <n v="9"/>
    <n v="2200"/>
    <n v="5"/>
    <n v="18810"/>
    <x v="8"/>
    <n v="16610"/>
    <x v="0"/>
  </r>
  <r>
    <s v="WD0014"/>
    <d v="2024-10-14T00:00:00"/>
    <x v="9"/>
    <x v="3"/>
    <x v="0"/>
    <x v="4"/>
    <s v="Blazer"/>
    <n v="3"/>
    <n v="3000"/>
    <n v="5"/>
    <n v="8550"/>
    <x v="0"/>
    <n v="5550"/>
    <x v="0"/>
  </r>
  <r>
    <s v="WD0277"/>
    <d v="2024-10-14T00:00:00"/>
    <x v="9"/>
    <x v="3"/>
    <x v="3"/>
    <x v="4"/>
    <s v="Bomber Jacket"/>
    <n v="1"/>
    <n v="2320"/>
    <n v="20"/>
    <n v="1856"/>
    <x v="6"/>
    <n v="-464"/>
    <x v="0"/>
  </r>
  <r>
    <s v="WD0339"/>
    <d v="2024-10-15T00:00:00"/>
    <x v="9"/>
    <x v="3"/>
    <x v="0"/>
    <x v="3"/>
    <s v="Casual Sundress"/>
    <n v="7"/>
    <n v="2850"/>
    <n v="0"/>
    <n v="19950"/>
    <x v="11"/>
    <n v="17100"/>
    <x v="0"/>
  </r>
  <r>
    <s v="WD0478"/>
    <d v="2024-10-15T00:00:00"/>
    <x v="9"/>
    <x v="3"/>
    <x v="1"/>
    <x v="0"/>
    <s v="Cap"/>
    <n v="10"/>
    <n v="2860"/>
    <n v="5"/>
    <n v="27170"/>
    <x v="4"/>
    <n v="24310"/>
    <x v="0"/>
  </r>
  <r>
    <s v="WD0450"/>
    <d v="2024-10-15T00:00:00"/>
    <x v="9"/>
    <x v="3"/>
    <x v="1"/>
    <x v="2"/>
    <s v="Lehenga"/>
    <n v="4"/>
    <n v="1590"/>
    <n v="10"/>
    <n v="5724"/>
    <x v="1"/>
    <n v="4134"/>
    <x v="0"/>
  </r>
  <r>
    <s v="WD0145"/>
    <d v="2024-10-16T00:00:00"/>
    <x v="9"/>
    <x v="3"/>
    <x v="3"/>
    <x v="3"/>
    <s v="Wrap Dress"/>
    <n v="9"/>
    <n v="1730"/>
    <n v="15"/>
    <n v="13234.5"/>
    <x v="3"/>
    <n v="11504.5"/>
    <x v="0"/>
  </r>
  <r>
    <s v="WD0443"/>
    <d v="2024-10-17T00:00:00"/>
    <x v="9"/>
    <x v="3"/>
    <x v="1"/>
    <x v="4"/>
    <s v="Blazer"/>
    <n v="1"/>
    <n v="5570"/>
    <n v="15"/>
    <n v="4734.5"/>
    <x v="4"/>
    <n v="-835.5"/>
    <x v="0"/>
  </r>
  <r>
    <s v="WD0486"/>
    <d v="2024-10-17T00:00:00"/>
    <x v="9"/>
    <x v="3"/>
    <x v="2"/>
    <x v="0"/>
    <s v="Leather Belt"/>
    <n v="10"/>
    <n v="2860"/>
    <n v="15"/>
    <n v="24310"/>
    <x v="5"/>
    <n v="21450"/>
    <x v="0"/>
  </r>
  <r>
    <s v="WD0118"/>
    <d v="2024-10-18T00:00:00"/>
    <x v="9"/>
    <x v="3"/>
    <x v="1"/>
    <x v="5"/>
    <s v="Casual Polo"/>
    <n v="10"/>
    <n v="2100"/>
    <n v="25"/>
    <n v="15750"/>
    <x v="1"/>
    <n v="13650"/>
    <x v="0"/>
  </r>
  <r>
    <s v="WD0520"/>
    <d v="2024-10-18T00:00:00"/>
    <x v="9"/>
    <x v="3"/>
    <x v="3"/>
    <x v="0"/>
    <s v="Handbag"/>
    <n v="14"/>
    <n v="670"/>
    <n v="20"/>
    <n v="7504"/>
    <x v="6"/>
    <n v="6834"/>
    <x v="0"/>
  </r>
  <r>
    <s v="WD0858"/>
    <d v="2024-10-18T00:00:00"/>
    <x v="9"/>
    <x v="3"/>
    <x v="0"/>
    <x v="1"/>
    <s v="Formal Black Trousers"/>
    <n v="6"/>
    <n v="2640"/>
    <n v="10"/>
    <n v="14256"/>
    <x v="0"/>
    <n v="11616"/>
    <x v="0"/>
  </r>
  <r>
    <s v="WD0942"/>
    <d v="2024-10-19T00:00:00"/>
    <x v="9"/>
    <x v="3"/>
    <x v="0"/>
    <x v="0"/>
    <s v="Cap"/>
    <n v="8"/>
    <n v="740"/>
    <n v="30"/>
    <n v="4144"/>
    <x v="0"/>
    <n v="3404"/>
    <x v="0"/>
  </r>
  <r>
    <s v="WD0136"/>
    <d v="2024-10-19T00:00:00"/>
    <x v="9"/>
    <x v="3"/>
    <x v="0"/>
    <x v="4"/>
    <s v="Bomber Jacket"/>
    <n v="12"/>
    <n v="8090"/>
    <n v="5"/>
    <n v="92226"/>
    <x v="8"/>
    <n v="84136"/>
    <x v="0"/>
  </r>
  <r>
    <s v="WD0797"/>
    <d v="2024-10-19T00:00:00"/>
    <x v="9"/>
    <x v="3"/>
    <x v="1"/>
    <x v="2"/>
    <s v="Lehenga"/>
    <n v="7"/>
    <n v="9780"/>
    <n v="20"/>
    <n v="54768"/>
    <x v="10"/>
    <n v="44988"/>
    <x v="0"/>
  </r>
  <r>
    <s v="WD0198"/>
    <d v="2024-10-20T00:00:00"/>
    <x v="9"/>
    <x v="3"/>
    <x v="1"/>
    <x v="4"/>
    <s v="Denim Jacket"/>
    <n v="10"/>
    <n v="8030"/>
    <n v="15"/>
    <n v="68255"/>
    <x v="1"/>
    <n v="60225"/>
    <x v="0"/>
  </r>
  <r>
    <s v="WD0873"/>
    <d v="2024-10-20T00:00:00"/>
    <x v="9"/>
    <x v="3"/>
    <x v="1"/>
    <x v="3"/>
    <s v="Floral Maxi Dress"/>
    <n v="9"/>
    <n v="3340"/>
    <n v="15"/>
    <n v="25551"/>
    <x v="10"/>
    <n v="22211"/>
    <x v="0"/>
  </r>
  <r>
    <s v="WD0648"/>
    <d v="2024-10-20T00:00:00"/>
    <x v="9"/>
    <x v="3"/>
    <x v="2"/>
    <x v="2"/>
    <s v="Saree"/>
    <n v="9"/>
    <n v="3050"/>
    <n v="0"/>
    <n v="27450"/>
    <x v="5"/>
    <n v="24400"/>
    <x v="0"/>
  </r>
  <r>
    <s v="WD0966"/>
    <d v="2024-10-20T00:00:00"/>
    <x v="9"/>
    <x v="3"/>
    <x v="3"/>
    <x v="0"/>
    <s v="Cap"/>
    <n v="5"/>
    <n v="1580"/>
    <n v="30"/>
    <n v="5530"/>
    <x v="3"/>
    <n v="3950"/>
    <x v="0"/>
  </r>
  <r>
    <s v="WD0150"/>
    <d v="2024-10-21T00:00:00"/>
    <x v="9"/>
    <x v="3"/>
    <x v="0"/>
    <x v="4"/>
    <s v="Denim Jacket"/>
    <n v="10"/>
    <n v="3660"/>
    <n v="10"/>
    <n v="32940"/>
    <x v="8"/>
    <n v="29280"/>
    <x v="0"/>
  </r>
  <r>
    <s v="WD0090"/>
    <d v="2024-10-21T00:00:00"/>
    <x v="9"/>
    <x v="3"/>
    <x v="1"/>
    <x v="1"/>
    <s v="Jogger Pants"/>
    <n v="1"/>
    <n v="1090"/>
    <n v="10"/>
    <n v="981"/>
    <x v="10"/>
    <n v="-109"/>
    <x v="0"/>
  </r>
  <r>
    <s v="WD0614"/>
    <d v="2024-10-21T00:00:00"/>
    <x v="9"/>
    <x v="3"/>
    <x v="1"/>
    <x v="5"/>
    <s v="Casual Polo"/>
    <n v="9"/>
    <n v="2110"/>
    <n v="0"/>
    <n v="18990"/>
    <x v="4"/>
    <n v="16880"/>
    <x v="0"/>
  </r>
  <r>
    <s v="WD0121"/>
    <d v="2024-10-21T00:00:00"/>
    <x v="9"/>
    <x v="3"/>
    <x v="3"/>
    <x v="5"/>
    <s v="Classic White Shirt"/>
    <n v="11"/>
    <n v="1030"/>
    <n v="30"/>
    <n v="7931"/>
    <x v="3"/>
    <n v="6901"/>
    <x v="0"/>
  </r>
  <r>
    <s v="WD0029"/>
    <d v="2024-10-22T00:00:00"/>
    <x v="9"/>
    <x v="3"/>
    <x v="2"/>
    <x v="2"/>
    <s v="Saree"/>
    <n v="15"/>
    <n v="9820"/>
    <n v="20"/>
    <n v="117840"/>
    <x v="2"/>
    <n v="108020"/>
    <x v="0"/>
  </r>
  <r>
    <s v="WD0492"/>
    <d v="2024-10-22T00:00:00"/>
    <x v="9"/>
    <x v="3"/>
    <x v="0"/>
    <x v="3"/>
    <s v="Wrap Dress"/>
    <n v="8"/>
    <n v="1510"/>
    <n v="30"/>
    <n v="8456"/>
    <x v="0"/>
    <n v="6946"/>
    <x v="0"/>
  </r>
  <r>
    <s v="WD0544"/>
    <d v="2024-10-22T00:00:00"/>
    <x v="9"/>
    <x v="3"/>
    <x v="1"/>
    <x v="4"/>
    <s v="Bomber Jacket"/>
    <n v="13"/>
    <n v="3460"/>
    <n v="5"/>
    <n v="42731"/>
    <x v="4"/>
    <n v="39271"/>
    <x v="0"/>
  </r>
  <r>
    <s v="WD0134"/>
    <d v="2024-10-23T00:00:00"/>
    <x v="9"/>
    <x v="3"/>
    <x v="3"/>
    <x v="5"/>
    <s v="Formal Blue Shirt"/>
    <n v="14"/>
    <n v="1980"/>
    <n v="20"/>
    <n v="22176"/>
    <x v="3"/>
    <n v="20196"/>
    <x v="0"/>
  </r>
  <r>
    <s v="WD0040"/>
    <d v="2024-10-23T00:00:00"/>
    <x v="9"/>
    <x v="3"/>
    <x v="2"/>
    <x v="4"/>
    <s v="Denim Jacket"/>
    <n v="10"/>
    <n v="8590"/>
    <n v="5"/>
    <n v="81605"/>
    <x v="9"/>
    <n v="73015"/>
    <x v="0"/>
  </r>
  <r>
    <s v="WD0204"/>
    <d v="2024-10-23T00:00:00"/>
    <x v="9"/>
    <x v="3"/>
    <x v="1"/>
    <x v="1"/>
    <s v="Cargo Trousers"/>
    <n v="10"/>
    <n v="2050"/>
    <n v="30"/>
    <n v="14350"/>
    <x v="1"/>
    <n v="12300"/>
    <x v="0"/>
  </r>
  <r>
    <s v="WD0872"/>
    <d v="2024-10-23T00:00:00"/>
    <x v="9"/>
    <x v="3"/>
    <x v="2"/>
    <x v="4"/>
    <s v="Denim Jacket"/>
    <n v="9"/>
    <n v="6790"/>
    <n v="30"/>
    <n v="42777"/>
    <x v="2"/>
    <n v="35987"/>
    <x v="0"/>
  </r>
  <r>
    <s v="WD0285"/>
    <d v="2024-10-23T00:00:00"/>
    <x v="9"/>
    <x v="3"/>
    <x v="1"/>
    <x v="2"/>
    <s v="Lehenga"/>
    <n v="11"/>
    <n v="4550"/>
    <n v="30"/>
    <n v="35035"/>
    <x v="10"/>
    <n v="30485"/>
    <x v="0"/>
  </r>
  <r>
    <s v="WD0917"/>
    <d v="2024-10-24T00:00:00"/>
    <x v="9"/>
    <x v="3"/>
    <x v="2"/>
    <x v="0"/>
    <s v="Cap"/>
    <n v="8"/>
    <n v="1790"/>
    <n v="5"/>
    <n v="13604"/>
    <x v="5"/>
    <n v="11814"/>
    <x v="0"/>
  </r>
  <r>
    <s v="WD0264"/>
    <d v="2024-10-24T00:00:00"/>
    <x v="9"/>
    <x v="3"/>
    <x v="3"/>
    <x v="2"/>
    <s v="Kurta Set"/>
    <n v="3"/>
    <n v="7280"/>
    <n v="20"/>
    <n v="17472"/>
    <x v="6"/>
    <n v="10192"/>
    <x v="0"/>
  </r>
  <r>
    <s v="WD0102"/>
    <d v="2024-10-24T00:00:00"/>
    <x v="9"/>
    <x v="3"/>
    <x v="3"/>
    <x v="1"/>
    <s v="Cargo Trousers"/>
    <n v="5"/>
    <n v="2670"/>
    <n v="25"/>
    <n v="10012.5"/>
    <x v="7"/>
    <n v="7342.5"/>
    <x v="0"/>
  </r>
  <r>
    <s v="WD0949"/>
    <d v="2024-10-24T00:00:00"/>
    <x v="9"/>
    <x v="3"/>
    <x v="2"/>
    <x v="2"/>
    <s v="Kurta Set"/>
    <n v="12"/>
    <n v="8960"/>
    <n v="30"/>
    <n v="75264"/>
    <x v="9"/>
    <n v="66304"/>
    <x v="0"/>
  </r>
  <r>
    <s v="WD0625"/>
    <d v="2024-10-24T00:00:00"/>
    <x v="9"/>
    <x v="3"/>
    <x v="1"/>
    <x v="3"/>
    <s v="Floral Maxi Dress"/>
    <n v="4"/>
    <n v="2250"/>
    <n v="25"/>
    <n v="6750"/>
    <x v="1"/>
    <n v="4500"/>
    <x v="0"/>
  </r>
  <r>
    <s v="WD0534"/>
    <d v="2024-10-25T00:00:00"/>
    <x v="9"/>
    <x v="3"/>
    <x v="3"/>
    <x v="3"/>
    <s v="Wrap Dress"/>
    <n v="12"/>
    <n v="3020"/>
    <n v="0"/>
    <n v="36240"/>
    <x v="3"/>
    <n v="33220"/>
    <x v="0"/>
  </r>
  <r>
    <s v="WD0651"/>
    <d v="2024-10-25T00:00:00"/>
    <x v="9"/>
    <x v="3"/>
    <x v="0"/>
    <x v="1"/>
    <s v="Formal Black Trousers"/>
    <n v="10"/>
    <n v="3040"/>
    <n v="5"/>
    <n v="28880"/>
    <x v="11"/>
    <n v="25840"/>
    <x v="0"/>
  </r>
  <r>
    <s v="WD0308"/>
    <d v="2024-10-25T00:00:00"/>
    <x v="9"/>
    <x v="3"/>
    <x v="0"/>
    <x v="1"/>
    <s v="Cargo Trousers"/>
    <n v="6"/>
    <n v="2830"/>
    <n v="10"/>
    <n v="15282"/>
    <x v="0"/>
    <n v="12452"/>
    <x v="0"/>
  </r>
  <r>
    <s v="WD0969"/>
    <d v="2024-10-25T00:00:00"/>
    <x v="9"/>
    <x v="3"/>
    <x v="3"/>
    <x v="5"/>
    <s v="Formal Blue Shirt"/>
    <n v="11"/>
    <n v="700"/>
    <n v="5"/>
    <n v="7315"/>
    <x v="3"/>
    <n v="6615"/>
    <x v="0"/>
  </r>
  <r>
    <s v="WD0051"/>
    <d v="2024-10-25T00:00:00"/>
    <x v="9"/>
    <x v="3"/>
    <x v="1"/>
    <x v="0"/>
    <s v="Silk Scarf"/>
    <n v="14"/>
    <n v="1770"/>
    <n v="10"/>
    <n v="22302"/>
    <x v="10"/>
    <n v="20532"/>
    <x v="0"/>
  </r>
  <r>
    <s v="WD0511"/>
    <d v="2024-10-25T00:00:00"/>
    <x v="9"/>
    <x v="3"/>
    <x v="0"/>
    <x v="5"/>
    <s v="Striped Shirt"/>
    <n v="10"/>
    <n v="880"/>
    <n v="20"/>
    <n v="7040"/>
    <x v="11"/>
    <n v="6160"/>
    <x v="0"/>
  </r>
  <r>
    <s v="WD0160"/>
    <d v="2024-10-26T00:00:00"/>
    <x v="9"/>
    <x v="3"/>
    <x v="1"/>
    <x v="4"/>
    <s v="Bomber Jacket"/>
    <n v="11"/>
    <n v="6710"/>
    <n v="10"/>
    <n v="66429"/>
    <x v="1"/>
    <n v="59719"/>
    <x v="0"/>
  </r>
  <r>
    <s v="WD0393"/>
    <d v="2024-10-27T00:00:00"/>
    <x v="9"/>
    <x v="3"/>
    <x v="0"/>
    <x v="2"/>
    <s v="Sherwani"/>
    <n v="10"/>
    <n v="8360"/>
    <n v="15"/>
    <n v="71060"/>
    <x v="11"/>
    <n v="62700"/>
    <x v="0"/>
  </r>
  <r>
    <s v="WD0704"/>
    <d v="2024-10-27T00:00:00"/>
    <x v="9"/>
    <x v="3"/>
    <x v="0"/>
    <x v="3"/>
    <s v="Wrap Dress"/>
    <n v="6"/>
    <n v="4900"/>
    <n v="25"/>
    <n v="22050"/>
    <x v="0"/>
    <n v="17150"/>
    <x v="0"/>
  </r>
  <r>
    <s v="WD0975"/>
    <d v="2024-10-27T00:00:00"/>
    <x v="9"/>
    <x v="3"/>
    <x v="2"/>
    <x v="0"/>
    <s v="Handbag"/>
    <n v="7"/>
    <n v="2270"/>
    <n v="5"/>
    <n v="15095.5"/>
    <x v="9"/>
    <n v="12825.5"/>
    <x v="0"/>
  </r>
  <r>
    <s v="WD0634"/>
    <d v="2024-10-28T00:00:00"/>
    <x v="9"/>
    <x v="3"/>
    <x v="0"/>
    <x v="0"/>
    <s v="Silk Scarf"/>
    <n v="4"/>
    <n v="1290"/>
    <n v="30"/>
    <n v="3612"/>
    <x v="0"/>
    <n v="2322"/>
    <x v="0"/>
  </r>
  <r>
    <s v="WD0383"/>
    <d v="2024-10-28T00:00:00"/>
    <x v="9"/>
    <x v="3"/>
    <x v="2"/>
    <x v="4"/>
    <s v="Bomber Jacket"/>
    <n v="13"/>
    <n v="4740"/>
    <n v="25"/>
    <n v="46215"/>
    <x v="9"/>
    <n v="41475"/>
    <x v="0"/>
  </r>
  <r>
    <s v="WD0200"/>
    <d v="2024-10-28T00:00:00"/>
    <x v="9"/>
    <x v="3"/>
    <x v="3"/>
    <x v="5"/>
    <s v="Striped Shirt"/>
    <n v="4"/>
    <n v="2200"/>
    <n v="15"/>
    <n v="7480"/>
    <x v="7"/>
    <n v="5280"/>
    <x v="0"/>
  </r>
  <r>
    <s v="WD0844"/>
    <d v="2024-10-30T00:00:00"/>
    <x v="9"/>
    <x v="3"/>
    <x v="1"/>
    <x v="5"/>
    <s v="Striped Shirt"/>
    <n v="12"/>
    <n v="1340"/>
    <n v="20"/>
    <n v="12864"/>
    <x v="10"/>
    <n v="11524"/>
    <x v="0"/>
  </r>
  <r>
    <s v="WD0769"/>
    <d v="2024-10-31T00:00:00"/>
    <x v="9"/>
    <x v="3"/>
    <x v="0"/>
    <x v="4"/>
    <s v="Bomber Jacket"/>
    <n v="6"/>
    <n v="4440"/>
    <n v="10"/>
    <n v="23976"/>
    <x v="0"/>
    <n v="19536"/>
    <x v="0"/>
  </r>
  <r>
    <s v="WD0814"/>
    <d v="2024-10-31T00:00:00"/>
    <x v="9"/>
    <x v="3"/>
    <x v="2"/>
    <x v="1"/>
    <s v="Jogger Pants"/>
    <n v="12"/>
    <n v="2450"/>
    <n v="25"/>
    <n v="22050"/>
    <x v="9"/>
    <n v="19600"/>
    <x v="0"/>
  </r>
  <r>
    <s v="WD0621"/>
    <d v="2024-11-01T00:00:00"/>
    <x v="10"/>
    <x v="3"/>
    <x v="1"/>
    <x v="2"/>
    <s v="Saree"/>
    <n v="1"/>
    <n v="2920"/>
    <n v="20"/>
    <n v="2336"/>
    <x v="1"/>
    <n v="-584"/>
    <x v="0"/>
  </r>
  <r>
    <s v="WD0602"/>
    <d v="2024-11-01T00:00:00"/>
    <x v="10"/>
    <x v="3"/>
    <x v="3"/>
    <x v="4"/>
    <s v="Leather Jacket"/>
    <n v="15"/>
    <n v="2280"/>
    <n v="10"/>
    <n v="30780"/>
    <x v="6"/>
    <n v="28500"/>
    <x v="0"/>
  </r>
  <r>
    <s v="WD0779"/>
    <d v="2024-11-01T00:00:00"/>
    <x v="10"/>
    <x v="3"/>
    <x v="2"/>
    <x v="4"/>
    <s v="Denim Jacket"/>
    <n v="8"/>
    <n v="8330"/>
    <n v="30"/>
    <n v="46648"/>
    <x v="9"/>
    <n v="38318"/>
    <x v="0"/>
  </r>
  <r>
    <s v="WD0791"/>
    <d v="2024-11-01T00:00:00"/>
    <x v="10"/>
    <x v="3"/>
    <x v="1"/>
    <x v="2"/>
    <s v="Sherwani"/>
    <n v="10"/>
    <n v="8460"/>
    <n v="5"/>
    <n v="80370"/>
    <x v="4"/>
    <n v="71910"/>
    <x v="0"/>
  </r>
  <r>
    <s v="WD0855"/>
    <d v="2024-11-02T00:00:00"/>
    <x v="10"/>
    <x v="3"/>
    <x v="1"/>
    <x v="4"/>
    <s v="Leather Jacket"/>
    <n v="7"/>
    <n v="4160"/>
    <n v="0"/>
    <n v="29120"/>
    <x v="4"/>
    <n v="24960"/>
    <x v="0"/>
  </r>
  <r>
    <s v="WD0649"/>
    <d v="2024-11-02T00:00:00"/>
    <x v="10"/>
    <x v="3"/>
    <x v="1"/>
    <x v="1"/>
    <s v="Jogger Pants"/>
    <n v="9"/>
    <n v="3290"/>
    <n v="15"/>
    <n v="25168.5"/>
    <x v="10"/>
    <n v="21878.5"/>
    <x v="0"/>
  </r>
  <r>
    <s v="WD0737"/>
    <d v="2024-11-02T00:00:00"/>
    <x v="10"/>
    <x v="3"/>
    <x v="2"/>
    <x v="2"/>
    <s v="Sherwani"/>
    <n v="8"/>
    <n v="5220"/>
    <n v="10"/>
    <n v="37584"/>
    <x v="9"/>
    <n v="32364"/>
    <x v="0"/>
  </r>
  <r>
    <s v="WD0654"/>
    <d v="2024-11-03T00:00:00"/>
    <x v="10"/>
    <x v="3"/>
    <x v="0"/>
    <x v="1"/>
    <s v="Slim Fit Chinos"/>
    <n v="15"/>
    <n v="1280"/>
    <n v="20"/>
    <n v="15360"/>
    <x v="11"/>
    <n v="14080"/>
    <x v="0"/>
  </r>
  <r>
    <s v="WD0997"/>
    <d v="2024-11-04T00:00:00"/>
    <x v="10"/>
    <x v="3"/>
    <x v="3"/>
    <x v="0"/>
    <s v="Leather Belt"/>
    <n v="13"/>
    <n v="2340"/>
    <n v="0"/>
    <n v="30420"/>
    <x v="6"/>
    <n v="28080"/>
    <x v="0"/>
  </r>
  <r>
    <s v="WD0703"/>
    <d v="2024-11-05T00:00:00"/>
    <x v="10"/>
    <x v="3"/>
    <x v="2"/>
    <x v="3"/>
    <s v="Evening Gown"/>
    <n v="12"/>
    <n v="4260"/>
    <n v="10"/>
    <n v="46008"/>
    <x v="9"/>
    <n v="41748"/>
    <x v="0"/>
  </r>
  <r>
    <s v="WD0891"/>
    <d v="2024-11-05T00:00:00"/>
    <x v="10"/>
    <x v="3"/>
    <x v="2"/>
    <x v="2"/>
    <s v="Kurta Set"/>
    <n v="2"/>
    <n v="9640"/>
    <n v="0"/>
    <n v="19280"/>
    <x v="5"/>
    <n v="9640"/>
    <x v="0"/>
  </r>
  <r>
    <s v="WD0971"/>
    <d v="2024-11-05T00:00:00"/>
    <x v="10"/>
    <x v="3"/>
    <x v="1"/>
    <x v="2"/>
    <s v="Lehenga"/>
    <n v="6"/>
    <n v="3740"/>
    <n v="20"/>
    <n v="17952"/>
    <x v="10"/>
    <n v="14212"/>
    <x v="0"/>
  </r>
  <r>
    <s v="WD0650"/>
    <d v="2024-11-06T00:00:00"/>
    <x v="10"/>
    <x v="3"/>
    <x v="1"/>
    <x v="0"/>
    <s v="Cap"/>
    <n v="4"/>
    <n v="2860"/>
    <n v="15"/>
    <n v="9724"/>
    <x v="1"/>
    <n v="6864"/>
    <x v="0"/>
  </r>
  <r>
    <s v="WD0089"/>
    <d v="2024-11-06T00:00:00"/>
    <x v="10"/>
    <x v="3"/>
    <x v="2"/>
    <x v="4"/>
    <s v="Bomber Jacket"/>
    <n v="3"/>
    <n v="7370"/>
    <n v="20"/>
    <n v="17688"/>
    <x v="9"/>
    <n v="10318"/>
    <x v="0"/>
  </r>
  <r>
    <s v="WD0699"/>
    <d v="2024-11-06T00:00:00"/>
    <x v="10"/>
    <x v="3"/>
    <x v="3"/>
    <x v="5"/>
    <s v="Striped Shirt"/>
    <n v="14"/>
    <n v="830"/>
    <n v="25"/>
    <n v="8715"/>
    <x v="6"/>
    <n v="7885"/>
    <x v="0"/>
  </r>
  <r>
    <s v="WD0556"/>
    <d v="2024-11-06T00:00:00"/>
    <x v="10"/>
    <x v="3"/>
    <x v="0"/>
    <x v="0"/>
    <s v="Leather Belt"/>
    <n v="5"/>
    <n v="2090"/>
    <n v="20"/>
    <n v="8360"/>
    <x v="0"/>
    <n v="6270"/>
    <x v="0"/>
  </r>
  <r>
    <s v="WD0587"/>
    <d v="2024-11-06T00:00:00"/>
    <x v="10"/>
    <x v="3"/>
    <x v="2"/>
    <x v="0"/>
    <s v="Silk Scarf"/>
    <n v="11"/>
    <n v="580"/>
    <n v="20"/>
    <n v="5104"/>
    <x v="2"/>
    <n v="4524"/>
    <x v="0"/>
  </r>
  <r>
    <s v="WD0177"/>
    <d v="2024-11-07T00:00:00"/>
    <x v="10"/>
    <x v="3"/>
    <x v="1"/>
    <x v="4"/>
    <s v="Blazer"/>
    <n v="2"/>
    <n v="2510"/>
    <n v="10"/>
    <n v="4518"/>
    <x v="4"/>
    <n v="2008"/>
    <x v="0"/>
  </r>
  <r>
    <s v="WD0871"/>
    <d v="2024-11-08T00:00:00"/>
    <x v="10"/>
    <x v="3"/>
    <x v="1"/>
    <x v="1"/>
    <s v="Jogger Pants"/>
    <n v="2"/>
    <n v="2050"/>
    <n v="20"/>
    <n v="3280"/>
    <x v="4"/>
    <n v="1230"/>
    <x v="0"/>
  </r>
  <r>
    <s v="WD0097"/>
    <d v="2024-11-08T00:00:00"/>
    <x v="10"/>
    <x v="3"/>
    <x v="1"/>
    <x v="3"/>
    <s v="Wrap Dress"/>
    <n v="8"/>
    <n v="2220"/>
    <n v="20"/>
    <n v="14208"/>
    <x v="10"/>
    <n v="11988"/>
    <x v="0"/>
  </r>
  <r>
    <s v="WD0999"/>
    <d v="2024-11-09T00:00:00"/>
    <x v="10"/>
    <x v="3"/>
    <x v="3"/>
    <x v="3"/>
    <s v="Casual Sundress"/>
    <n v="13"/>
    <n v="5270"/>
    <n v="25"/>
    <n v="51382.5"/>
    <x v="6"/>
    <n v="46112.5"/>
    <x v="0"/>
  </r>
  <r>
    <s v="WD0074"/>
    <d v="2024-11-09T00:00:00"/>
    <x v="10"/>
    <x v="3"/>
    <x v="2"/>
    <x v="4"/>
    <s v="Bomber Jacket"/>
    <n v="15"/>
    <n v="8650"/>
    <n v="15"/>
    <n v="110287.5"/>
    <x v="9"/>
    <n v="101637.5"/>
    <x v="0"/>
  </r>
  <r>
    <s v="WD0859"/>
    <d v="2024-11-09T00:00:00"/>
    <x v="10"/>
    <x v="3"/>
    <x v="3"/>
    <x v="4"/>
    <s v="Bomber Jacket"/>
    <n v="10"/>
    <n v="8930"/>
    <n v="0"/>
    <n v="89300"/>
    <x v="3"/>
    <n v="80370"/>
    <x v="0"/>
  </r>
  <r>
    <s v="WD0607"/>
    <d v="2024-11-10T00:00:00"/>
    <x v="10"/>
    <x v="3"/>
    <x v="1"/>
    <x v="5"/>
    <s v="Formal Blue Shirt"/>
    <n v="15"/>
    <n v="1450"/>
    <n v="25"/>
    <n v="16312.5"/>
    <x v="10"/>
    <n v="14862.5"/>
    <x v="0"/>
  </r>
  <r>
    <s v="WD0857"/>
    <d v="2024-11-11T00:00:00"/>
    <x v="10"/>
    <x v="3"/>
    <x v="1"/>
    <x v="1"/>
    <s v="Formal Black Trousers"/>
    <n v="5"/>
    <n v="2020"/>
    <n v="15"/>
    <n v="8585"/>
    <x v="10"/>
    <n v="6565"/>
    <x v="0"/>
  </r>
  <r>
    <s v="WD0436"/>
    <d v="2024-11-11T00:00:00"/>
    <x v="10"/>
    <x v="3"/>
    <x v="0"/>
    <x v="0"/>
    <s v="Handbag"/>
    <n v="9"/>
    <n v="520"/>
    <n v="20"/>
    <n v="3744"/>
    <x v="11"/>
    <n v="3224"/>
    <x v="0"/>
  </r>
  <r>
    <s v="WD0095"/>
    <d v="2024-11-11T00:00:00"/>
    <x v="10"/>
    <x v="3"/>
    <x v="2"/>
    <x v="4"/>
    <s v="Leather Jacket"/>
    <n v="11"/>
    <n v="7140"/>
    <n v="10"/>
    <n v="70686"/>
    <x v="9"/>
    <n v="63546"/>
    <x v="0"/>
  </r>
  <r>
    <s v="WD0847"/>
    <d v="2024-11-11T00:00:00"/>
    <x v="10"/>
    <x v="3"/>
    <x v="0"/>
    <x v="3"/>
    <s v="Wrap Dress"/>
    <n v="4"/>
    <n v="3350"/>
    <n v="5"/>
    <n v="12730"/>
    <x v="8"/>
    <n v="9380"/>
    <x v="0"/>
  </r>
  <r>
    <s v="WD0370"/>
    <d v="2024-11-11T00:00:00"/>
    <x v="10"/>
    <x v="3"/>
    <x v="3"/>
    <x v="3"/>
    <s v="Casual Sundress"/>
    <n v="8"/>
    <n v="4600"/>
    <n v="20"/>
    <n v="29440"/>
    <x v="6"/>
    <n v="24840"/>
    <x v="0"/>
  </r>
  <r>
    <s v="WD0571"/>
    <d v="2024-11-12T00:00:00"/>
    <x v="10"/>
    <x v="3"/>
    <x v="2"/>
    <x v="0"/>
    <s v="Cap"/>
    <n v="12"/>
    <n v="1700"/>
    <n v="25"/>
    <n v="15300"/>
    <x v="5"/>
    <n v="13600"/>
    <x v="0"/>
  </r>
  <r>
    <s v="WD0191"/>
    <d v="2024-11-12T00:00:00"/>
    <x v="10"/>
    <x v="3"/>
    <x v="3"/>
    <x v="2"/>
    <s v="Kurta Set"/>
    <n v="3"/>
    <n v="11660"/>
    <n v="5"/>
    <n v="33231"/>
    <x v="6"/>
    <n v="21571"/>
    <x v="0"/>
  </r>
  <r>
    <s v="WD0199"/>
    <d v="2024-11-12T00:00:00"/>
    <x v="10"/>
    <x v="3"/>
    <x v="0"/>
    <x v="3"/>
    <s v="Floral Maxi Dress"/>
    <n v="6"/>
    <n v="3020"/>
    <n v="5"/>
    <n v="17214"/>
    <x v="8"/>
    <n v="14194"/>
    <x v="0"/>
  </r>
  <r>
    <s v="WD0218"/>
    <d v="2024-11-12T00:00:00"/>
    <x v="10"/>
    <x v="3"/>
    <x v="1"/>
    <x v="2"/>
    <s v="Kurta Set"/>
    <n v="15"/>
    <n v="9110"/>
    <n v="30"/>
    <n v="95655"/>
    <x v="4"/>
    <n v="86545"/>
    <x v="0"/>
  </r>
  <r>
    <s v="WD0923"/>
    <d v="2024-11-12T00:00:00"/>
    <x v="10"/>
    <x v="3"/>
    <x v="1"/>
    <x v="2"/>
    <s v="Saree"/>
    <n v="9"/>
    <n v="3710"/>
    <n v="0"/>
    <n v="33390"/>
    <x v="1"/>
    <n v="29680"/>
    <x v="0"/>
  </r>
  <r>
    <s v="WD0616"/>
    <d v="2024-11-12T00:00:00"/>
    <x v="10"/>
    <x v="3"/>
    <x v="0"/>
    <x v="0"/>
    <s v="Leather Belt"/>
    <n v="11"/>
    <n v="1740"/>
    <n v="25"/>
    <n v="14355"/>
    <x v="11"/>
    <n v="12615"/>
    <x v="0"/>
  </r>
  <r>
    <s v="WD0851"/>
    <d v="2024-11-13T00:00:00"/>
    <x v="10"/>
    <x v="3"/>
    <x v="1"/>
    <x v="3"/>
    <s v="Wrap Dress"/>
    <n v="7"/>
    <n v="3000"/>
    <n v="5"/>
    <n v="19950"/>
    <x v="4"/>
    <n v="16950"/>
    <x v="0"/>
  </r>
  <r>
    <s v="WD0371"/>
    <d v="2024-11-13T00:00:00"/>
    <x v="10"/>
    <x v="3"/>
    <x v="0"/>
    <x v="5"/>
    <s v="Casual Polo"/>
    <n v="7"/>
    <n v="1180"/>
    <n v="10"/>
    <n v="7434"/>
    <x v="8"/>
    <n v="6254"/>
    <x v="0"/>
  </r>
  <r>
    <s v="WD0739"/>
    <d v="2024-11-13T00:00:00"/>
    <x v="10"/>
    <x v="3"/>
    <x v="0"/>
    <x v="5"/>
    <s v="Striped Shirt"/>
    <n v="15"/>
    <n v="1990"/>
    <n v="0"/>
    <n v="29850"/>
    <x v="8"/>
    <n v="27860"/>
    <x v="0"/>
  </r>
  <r>
    <s v="WD0146"/>
    <d v="2024-11-13T00:00:00"/>
    <x v="10"/>
    <x v="3"/>
    <x v="2"/>
    <x v="1"/>
    <s v="Formal Black Trousers"/>
    <n v="14"/>
    <n v="1010"/>
    <n v="15"/>
    <n v="12019"/>
    <x v="9"/>
    <n v="11009"/>
    <x v="0"/>
  </r>
  <r>
    <s v="WD0772"/>
    <d v="2024-11-13T00:00:00"/>
    <x v="10"/>
    <x v="3"/>
    <x v="2"/>
    <x v="0"/>
    <s v="Leather Belt"/>
    <n v="1"/>
    <n v="600"/>
    <n v="5"/>
    <n v="570"/>
    <x v="5"/>
    <n v="-30"/>
    <x v="0"/>
  </r>
  <r>
    <s v="WD0720"/>
    <d v="2024-11-14T00:00:00"/>
    <x v="10"/>
    <x v="3"/>
    <x v="3"/>
    <x v="5"/>
    <s v="Striped Shirt"/>
    <n v="5"/>
    <n v="1770"/>
    <n v="25"/>
    <n v="6637.5"/>
    <x v="7"/>
    <n v="4867.5"/>
    <x v="0"/>
  </r>
  <r>
    <s v="WD0083"/>
    <d v="2024-11-14T00:00:00"/>
    <x v="10"/>
    <x v="3"/>
    <x v="0"/>
    <x v="0"/>
    <s v="Silk Scarf"/>
    <n v="15"/>
    <n v="2570"/>
    <n v="5"/>
    <n v="36622.5"/>
    <x v="0"/>
    <n v="34052.5"/>
    <x v="0"/>
  </r>
  <r>
    <s v="WD0564"/>
    <d v="2024-11-14T00:00:00"/>
    <x v="10"/>
    <x v="3"/>
    <x v="2"/>
    <x v="0"/>
    <s v="Silk Scarf"/>
    <n v="15"/>
    <n v="1190"/>
    <n v="15"/>
    <n v="15172.5"/>
    <x v="2"/>
    <n v="13982.5"/>
    <x v="0"/>
  </r>
  <r>
    <s v="WD0063"/>
    <d v="2024-11-15T00:00:00"/>
    <x v="10"/>
    <x v="3"/>
    <x v="2"/>
    <x v="3"/>
    <s v="Wrap Dress"/>
    <n v="11"/>
    <n v="1350"/>
    <n v="10"/>
    <n v="13365"/>
    <x v="2"/>
    <n v="12015"/>
    <x v="0"/>
  </r>
  <r>
    <s v="WD0876"/>
    <d v="2024-11-15T00:00:00"/>
    <x v="10"/>
    <x v="3"/>
    <x v="0"/>
    <x v="2"/>
    <s v="Saree"/>
    <n v="11"/>
    <n v="8090"/>
    <n v="10"/>
    <n v="80091"/>
    <x v="11"/>
    <n v="72001"/>
    <x v="0"/>
  </r>
  <r>
    <s v="WD0219"/>
    <d v="2024-11-15T00:00:00"/>
    <x v="10"/>
    <x v="3"/>
    <x v="0"/>
    <x v="1"/>
    <s v="Formal Black Trousers"/>
    <n v="12"/>
    <n v="1290"/>
    <n v="30"/>
    <n v="10836"/>
    <x v="11"/>
    <n v="9546"/>
    <x v="0"/>
  </r>
  <r>
    <s v="WD0076"/>
    <d v="2024-11-16T00:00:00"/>
    <x v="10"/>
    <x v="3"/>
    <x v="3"/>
    <x v="1"/>
    <s v="Jogger Pants"/>
    <n v="9"/>
    <n v="2870"/>
    <n v="15"/>
    <n v="21955.5"/>
    <x v="6"/>
    <n v="19085.5"/>
    <x v="0"/>
  </r>
  <r>
    <s v="WD0116"/>
    <d v="2024-11-16T00:00:00"/>
    <x v="10"/>
    <x v="3"/>
    <x v="0"/>
    <x v="5"/>
    <s v="Casual Polo"/>
    <n v="13"/>
    <n v="2350"/>
    <n v="30"/>
    <n v="21385"/>
    <x v="0"/>
    <n v="19035"/>
    <x v="0"/>
  </r>
  <r>
    <s v="WD0508"/>
    <d v="2024-11-17T00:00:00"/>
    <x v="10"/>
    <x v="3"/>
    <x v="1"/>
    <x v="4"/>
    <s v="Denim Jacket"/>
    <n v="7"/>
    <n v="8920"/>
    <n v="5"/>
    <n v="59318"/>
    <x v="4"/>
    <n v="50398"/>
    <x v="0"/>
  </r>
  <r>
    <s v="WD0091"/>
    <d v="2024-11-17T00:00:00"/>
    <x v="10"/>
    <x v="3"/>
    <x v="0"/>
    <x v="4"/>
    <s v="Leather Jacket"/>
    <n v="12"/>
    <n v="2530"/>
    <n v="30"/>
    <n v="21252"/>
    <x v="11"/>
    <n v="18722"/>
    <x v="0"/>
  </r>
  <r>
    <s v="WD0944"/>
    <d v="2024-11-17T00:00:00"/>
    <x v="10"/>
    <x v="3"/>
    <x v="3"/>
    <x v="0"/>
    <s v="Handbag"/>
    <n v="1"/>
    <n v="2200"/>
    <n v="30"/>
    <n v="1540"/>
    <x v="6"/>
    <n v="-660"/>
    <x v="0"/>
  </r>
  <r>
    <s v="WD0236"/>
    <d v="2024-11-17T00:00:00"/>
    <x v="10"/>
    <x v="3"/>
    <x v="1"/>
    <x v="3"/>
    <s v="Floral Maxi Dress"/>
    <n v="12"/>
    <n v="2720"/>
    <n v="25"/>
    <n v="24480"/>
    <x v="4"/>
    <n v="21760"/>
    <x v="0"/>
  </r>
  <r>
    <s v="WD0799"/>
    <d v="2024-11-18T00:00:00"/>
    <x v="10"/>
    <x v="3"/>
    <x v="0"/>
    <x v="0"/>
    <s v="Leather Belt"/>
    <n v="9"/>
    <n v="1800"/>
    <n v="30"/>
    <n v="11340"/>
    <x v="11"/>
    <n v="9540"/>
    <x v="0"/>
  </r>
  <r>
    <s v="WD0286"/>
    <d v="2024-11-18T00:00:00"/>
    <x v="10"/>
    <x v="3"/>
    <x v="2"/>
    <x v="0"/>
    <s v="Leather Belt"/>
    <n v="3"/>
    <n v="1870"/>
    <n v="20"/>
    <n v="4488"/>
    <x v="9"/>
    <n v="2618"/>
    <x v="0"/>
  </r>
  <r>
    <s v="WD0818"/>
    <d v="2024-11-18T00:00:00"/>
    <x v="10"/>
    <x v="3"/>
    <x v="2"/>
    <x v="0"/>
    <s v="Silk Scarf"/>
    <n v="2"/>
    <n v="1950"/>
    <n v="20"/>
    <n v="3120"/>
    <x v="9"/>
    <n v="1170"/>
    <x v="0"/>
  </r>
  <r>
    <s v="WD0695"/>
    <d v="2024-11-18T00:00:00"/>
    <x v="10"/>
    <x v="3"/>
    <x v="1"/>
    <x v="1"/>
    <s v="Cargo Trousers"/>
    <n v="15"/>
    <n v="2150"/>
    <n v="30"/>
    <n v="22575"/>
    <x v="10"/>
    <n v="20425"/>
    <x v="0"/>
  </r>
  <r>
    <s v="WD0905"/>
    <d v="2024-11-18T00:00:00"/>
    <x v="10"/>
    <x v="3"/>
    <x v="1"/>
    <x v="4"/>
    <s v="Leather Jacket"/>
    <n v="7"/>
    <n v="4090"/>
    <n v="0"/>
    <n v="28630"/>
    <x v="10"/>
    <n v="24540"/>
    <x v="0"/>
  </r>
  <r>
    <s v="WD0584"/>
    <d v="2024-11-20T00:00:00"/>
    <x v="10"/>
    <x v="3"/>
    <x v="0"/>
    <x v="1"/>
    <s v="Jogger Pants"/>
    <n v="7"/>
    <n v="1090"/>
    <n v="0"/>
    <n v="7630"/>
    <x v="0"/>
    <n v="6540"/>
    <x v="0"/>
  </r>
  <r>
    <s v="WD0543"/>
    <d v="2024-11-20T00:00:00"/>
    <x v="10"/>
    <x v="3"/>
    <x v="2"/>
    <x v="5"/>
    <s v="Striped Shirt"/>
    <n v="3"/>
    <n v="1230"/>
    <n v="10"/>
    <n v="3321"/>
    <x v="5"/>
    <n v="2091"/>
    <x v="0"/>
  </r>
  <r>
    <s v="WD0752"/>
    <d v="2024-11-20T00:00:00"/>
    <x v="10"/>
    <x v="3"/>
    <x v="3"/>
    <x v="2"/>
    <s v="Sherwani"/>
    <n v="7"/>
    <n v="11210"/>
    <n v="30"/>
    <n v="54929"/>
    <x v="7"/>
    <n v="43719"/>
    <x v="0"/>
  </r>
  <r>
    <s v="WD0049"/>
    <d v="2024-11-22T00:00:00"/>
    <x v="10"/>
    <x v="3"/>
    <x v="0"/>
    <x v="3"/>
    <s v="Floral Maxi Dress"/>
    <n v="13"/>
    <n v="1020"/>
    <n v="5"/>
    <n v="12597"/>
    <x v="8"/>
    <n v="11577"/>
    <x v="0"/>
  </r>
  <r>
    <s v="WD0456"/>
    <d v="2024-11-22T00:00:00"/>
    <x v="10"/>
    <x v="3"/>
    <x v="0"/>
    <x v="0"/>
    <s v="Leather Belt"/>
    <n v="9"/>
    <n v="1870"/>
    <n v="5"/>
    <n v="15988.5"/>
    <x v="8"/>
    <n v="14118.5"/>
    <x v="0"/>
  </r>
  <r>
    <s v="WD0669"/>
    <d v="2024-11-23T00:00:00"/>
    <x v="10"/>
    <x v="3"/>
    <x v="3"/>
    <x v="0"/>
    <s v="Leather Belt"/>
    <n v="14"/>
    <n v="2850"/>
    <n v="5"/>
    <n v="37905"/>
    <x v="7"/>
    <n v="35055"/>
    <x v="0"/>
  </r>
  <r>
    <s v="WD0487"/>
    <d v="2024-11-23T00:00:00"/>
    <x v="10"/>
    <x v="3"/>
    <x v="2"/>
    <x v="2"/>
    <s v="Sherwani"/>
    <n v="10"/>
    <n v="12090"/>
    <n v="5"/>
    <n v="114855"/>
    <x v="9"/>
    <n v="102765"/>
    <x v="0"/>
  </r>
  <r>
    <s v="WD0020"/>
    <d v="2024-11-23T00:00:00"/>
    <x v="10"/>
    <x v="3"/>
    <x v="2"/>
    <x v="2"/>
    <s v="Kurta Set"/>
    <n v="5"/>
    <n v="11510"/>
    <n v="30"/>
    <n v="40285"/>
    <x v="9"/>
    <n v="28775"/>
    <x v="0"/>
  </r>
  <r>
    <s v="WD0011"/>
    <d v="2024-11-23T00:00:00"/>
    <x v="10"/>
    <x v="3"/>
    <x v="2"/>
    <x v="2"/>
    <s v="Saree"/>
    <n v="7"/>
    <n v="3380"/>
    <n v="10"/>
    <n v="21294"/>
    <x v="9"/>
    <n v="17914"/>
    <x v="0"/>
  </r>
  <r>
    <s v="WD0531"/>
    <d v="2024-11-23T00:00:00"/>
    <x v="10"/>
    <x v="3"/>
    <x v="3"/>
    <x v="3"/>
    <s v="Floral Maxi Dress"/>
    <n v="6"/>
    <n v="3410"/>
    <n v="10"/>
    <n v="18414"/>
    <x v="7"/>
    <n v="15004"/>
    <x v="0"/>
  </r>
  <r>
    <s v="WD0572"/>
    <d v="2024-11-24T00:00:00"/>
    <x v="10"/>
    <x v="3"/>
    <x v="0"/>
    <x v="0"/>
    <s v="Silk Scarf"/>
    <n v="11"/>
    <n v="1600"/>
    <n v="25"/>
    <n v="13200"/>
    <x v="8"/>
    <n v="11600"/>
    <x v="0"/>
  </r>
  <r>
    <s v="WD0741"/>
    <d v="2024-11-24T00:00:00"/>
    <x v="10"/>
    <x v="3"/>
    <x v="0"/>
    <x v="2"/>
    <s v="Saree"/>
    <n v="6"/>
    <n v="8550"/>
    <n v="15"/>
    <n v="43605"/>
    <x v="8"/>
    <n v="35055"/>
    <x v="0"/>
  </r>
  <r>
    <s v="WD0237"/>
    <d v="2024-11-25T00:00:00"/>
    <x v="10"/>
    <x v="3"/>
    <x v="3"/>
    <x v="1"/>
    <s v="Slim Fit Chinos"/>
    <n v="6"/>
    <n v="1750"/>
    <n v="30"/>
    <n v="7350"/>
    <x v="6"/>
    <n v="5600"/>
    <x v="0"/>
  </r>
  <r>
    <s v="WD0329"/>
    <d v="2024-11-25T00:00:00"/>
    <x v="10"/>
    <x v="3"/>
    <x v="2"/>
    <x v="0"/>
    <s v="Handbag"/>
    <n v="1"/>
    <n v="1800"/>
    <n v="10"/>
    <n v="1620"/>
    <x v="9"/>
    <n v="-180"/>
    <x v="0"/>
  </r>
  <r>
    <s v="WD0717"/>
    <d v="2024-11-26T00:00:00"/>
    <x v="10"/>
    <x v="3"/>
    <x v="2"/>
    <x v="4"/>
    <s v="Blazer"/>
    <n v="3"/>
    <n v="4760"/>
    <n v="25"/>
    <n v="10710"/>
    <x v="2"/>
    <n v="5950"/>
    <x v="0"/>
  </r>
  <r>
    <s v="WD0202"/>
    <d v="2024-11-26T00:00:00"/>
    <x v="10"/>
    <x v="3"/>
    <x v="1"/>
    <x v="2"/>
    <s v="Saree"/>
    <n v="6"/>
    <n v="11920"/>
    <n v="10"/>
    <n v="64368"/>
    <x v="4"/>
    <n v="52448"/>
    <x v="0"/>
  </r>
  <r>
    <s v="WD0397"/>
    <d v="2024-11-26T00:00:00"/>
    <x v="10"/>
    <x v="3"/>
    <x v="0"/>
    <x v="4"/>
    <s v="Leather Jacket"/>
    <n v="9"/>
    <n v="5410"/>
    <n v="25"/>
    <n v="36517.5"/>
    <x v="11"/>
    <n v="31107.5"/>
    <x v="0"/>
  </r>
  <r>
    <s v="WD0981"/>
    <d v="2024-11-26T00:00:00"/>
    <x v="10"/>
    <x v="3"/>
    <x v="0"/>
    <x v="5"/>
    <s v="Formal Blue Shirt"/>
    <n v="8"/>
    <n v="1390"/>
    <n v="25"/>
    <n v="8340"/>
    <x v="11"/>
    <n v="6950"/>
    <x v="0"/>
  </r>
  <r>
    <s v="WD0826"/>
    <d v="2024-11-26T00:00:00"/>
    <x v="10"/>
    <x v="3"/>
    <x v="3"/>
    <x v="3"/>
    <s v="Wrap Dress"/>
    <n v="13"/>
    <n v="5580"/>
    <n v="0"/>
    <n v="72540"/>
    <x v="6"/>
    <n v="66960"/>
    <x v="0"/>
  </r>
  <r>
    <s v="WD0734"/>
    <d v="2024-11-26T00:00:00"/>
    <x v="10"/>
    <x v="3"/>
    <x v="1"/>
    <x v="1"/>
    <s v="Cargo Trousers"/>
    <n v="9"/>
    <n v="1430"/>
    <n v="30"/>
    <n v="9009"/>
    <x v="1"/>
    <n v="7579"/>
    <x v="0"/>
  </r>
  <r>
    <s v="WD0353"/>
    <d v="2024-11-26T00:00:00"/>
    <x v="10"/>
    <x v="3"/>
    <x v="1"/>
    <x v="0"/>
    <s v="Silk Scarf"/>
    <n v="14"/>
    <n v="520"/>
    <n v="15"/>
    <n v="6188"/>
    <x v="1"/>
    <n v="5668"/>
    <x v="0"/>
  </r>
  <r>
    <s v="WD0381"/>
    <d v="2024-11-27T00:00:00"/>
    <x v="10"/>
    <x v="3"/>
    <x v="2"/>
    <x v="0"/>
    <s v="Leather Belt"/>
    <n v="11"/>
    <n v="1820"/>
    <n v="25"/>
    <n v="15015"/>
    <x v="2"/>
    <n v="13195"/>
    <x v="0"/>
  </r>
  <r>
    <s v="WD0470"/>
    <d v="2024-11-27T00:00:00"/>
    <x v="10"/>
    <x v="3"/>
    <x v="0"/>
    <x v="1"/>
    <s v="Slim Fit Chinos"/>
    <n v="10"/>
    <n v="2460"/>
    <n v="5"/>
    <n v="23370"/>
    <x v="8"/>
    <n v="20910"/>
    <x v="0"/>
  </r>
  <r>
    <s v="WD0620"/>
    <d v="2024-11-27T00:00:00"/>
    <x v="10"/>
    <x v="3"/>
    <x v="3"/>
    <x v="0"/>
    <s v="Silk Scarf"/>
    <n v="15"/>
    <n v="1100"/>
    <n v="30"/>
    <n v="11550"/>
    <x v="7"/>
    <n v="10450"/>
    <x v="0"/>
  </r>
  <r>
    <s v="WD0010"/>
    <d v="2024-11-27T00:00:00"/>
    <x v="10"/>
    <x v="3"/>
    <x v="3"/>
    <x v="3"/>
    <s v="Casual Sundress"/>
    <n v="12"/>
    <n v="4350"/>
    <n v="25"/>
    <n v="39150"/>
    <x v="6"/>
    <n v="34800"/>
    <x v="0"/>
  </r>
  <r>
    <s v="WD0093"/>
    <d v="2024-11-27T00:00:00"/>
    <x v="10"/>
    <x v="3"/>
    <x v="1"/>
    <x v="3"/>
    <s v="Wrap Dress"/>
    <n v="2"/>
    <n v="4310"/>
    <n v="20"/>
    <n v="6896"/>
    <x v="1"/>
    <n v="2586"/>
    <x v="0"/>
  </r>
  <r>
    <s v="WD0419"/>
    <d v="2024-11-28T00:00:00"/>
    <x v="10"/>
    <x v="3"/>
    <x v="0"/>
    <x v="5"/>
    <s v="Striped Shirt"/>
    <n v="12"/>
    <n v="980"/>
    <n v="5"/>
    <n v="11172"/>
    <x v="8"/>
    <n v="10192"/>
    <x v="0"/>
  </r>
  <r>
    <s v="WD0778"/>
    <d v="2024-11-28T00:00:00"/>
    <x v="10"/>
    <x v="3"/>
    <x v="3"/>
    <x v="0"/>
    <s v="Cap"/>
    <n v="1"/>
    <n v="2630"/>
    <n v="10"/>
    <n v="2367"/>
    <x v="7"/>
    <n v="-263"/>
    <x v="0"/>
  </r>
  <r>
    <s v="WD0025"/>
    <d v="2024-11-28T00:00:00"/>
    <x v="10"/>
    <x v="3"/>
    <x v="0"/>
    <x v="1"/>
    <s v="Formal Black Trousers"/>
    <n v="7"/>
    <n v="2720"/>
    <n v="25"/>
    <n v="14280"/>
    <x v="8"/>
    <n v="11560"/>
    <x v="0"/>
  </r>
  <r>
    <s v="WD0140"/>
    <d v="2024-11-28T00:00:00"/>
    <x v="10"/>
    <x v="3"/>
    <x v="1"/>
    <x v="4"/>
    <s v="Bomber Jacket"/>
    <n v="12"/>
    <n v="4370"/>
    <n v="15"/>
    <n v="44574"/>
    <x v="4"/>
    <n v="40204"/>
    <x v="0"/>
  </r>
  <r>
    <s v="WD0208"/>
    <d v="2024-11-29T00:00:00"/>
    <x v="10"/>
    <x v="3"/>
    <x v="0"/>
    <x v="4"/>
    <s v="Denim Jacket"/>
    <n v="13"/>
    <n v="5150"/>
    <n v="20"/>
    <n v="53560"/>
    <x v="11"/>
    <n v="48410"/>
    <x v="0"/>
  </r>
  <r>
    <s v="WD0372"/>
    <d v="2024-11-29T00:00:00"/>
    <x v="10"/>
    <x v="3"/>
    <x v="3"/>
    <x v="4"/>
    <s v="Bomber Jacket"/>
    <n v="14"/>
    <n v="5010"/>
    <n v="30"/>
    <n v="49098"/>
    <x v="3"/>
    <n v="44088"/>
    <x v="0"/>
  </r>
  <r>
    <s v="WD0404"/>
    <d v="2024-11-30T00:00:00"/>
    <x v="10"/>
    <x v="3"/>
    <x v="1"/>
    <x v="0"/>
    <s v="Handbag"/>
    <n v="7"/>
    <n v="1770"/>
    <n v="0"/>
    <n v="12390"/>
    <x v="4"/>
    <n v="10620"/>
    <x v="0"/>
  </r>
  <r>
    <s v="WD0275"/>
    <d v="2024-11-30T00:00:00"/>
    <x v="10"/>
    <x v="3"/>
    <x v="3"/>
    <x v="5"/>
    <s v="Classic White Shirt"/>
    <n v="10"/>
    <n v="1130"/>
    <n v="30"/>
    <n v="7910"/>
    <x v="3"/>
    <n v="6780"/>
    <x v="0"/>
  </r>
  <r>
    <s v="WD0031"/>
    <d v="2024-11-30T00:00:00"/>
    <x v="10"/>
    <x v="3"/>
    <x v="0"/>
    <x v="4"/>
    <s v="Blazer"/>
    <n v="1"/>
    <n v="8050"/>
    <n v="25"/>
    <n v="6037.5"/>
    <x v="0"/>
    <n v="-2012.5"/>
    <x v="0"/>
  </r>
  <r>
    <s v="WD0578"/>
    <d v="2024-12-01T00:00:00"/>
    <x v="11"/>
    <x v="3"/>
    <x v="1"/>
    <x v="5"/>
    <s v="Formal Blue Shirt"/>
    <n v="9"/>
    <n v="2290"/>
    <n v="5"/>
    <n v="19579.5"/>
    <x v="10"/>
    <n v="17289.5"/>
    <x v="0"/>
  </r>
  <r>
    <s v="WD0139"/>
    <d v="2024-12-01T00:00:00"/>
    <x v="11"/>
    <x v="3"/>
    <x v="1"/>
    <x v="2"/>
    <s v="Lehenga"/>
    <n v="3"/>
    <n v="1680"/>
    <n v="15"/>
    <n v="4284"/>
    <x v="4"/>
    <n v="2604"/>
    <x v="0"/>
  </r>
  <r>
    <s v="WD0533"/>
    <d v="2024-12-01T00:00:00"/>
    <x v="11"/>
    <x v="3"/>
    <x v="0"/>
    <x v="0"/>
    <s v="Cap"/>
    <n v="12"/>
    <n v="2140"/>
    <n v="0"/>
    <n v="25680"/>
    <x v="8"/>
    <n v="23540"/>
    <x v="0"/>
  </r>
  <r>
    <s v="WD0241"/>
    <d v="2024-12-01T00:00:00"/>
    <x v="11"/>
    <x v="3"/>
    <x v="2"/>
    <x v="3"/>
    <s v="Evening Gown"/>
    <n v="1"/>
    <n v="5310"/>
    <n v="30"/>
    <n v="3717"/>
    <x v="2"/>
    <n v="-1593"/>
    <x v="0"/>
  </r>
  <r>
    <s v="WD0668"/>
    <d v="2024-12-01T00:00:00"/>
    <x v="11"/>
    <x v="3"/>
    <x v="1"/>
    <x v="0"/>
    <s v="Handbag"/>
    <n v="7"/>
    <n v="2810"/>
    <n v="20"/>
    <n v="15736"/>
    <x v="10"/>
    <n v="12926"/>
    <x v="0"/>
  </r>
  <r>
    <s v="WD0865"/>
    <d v="2024-12-02T00:00:00"/>
    <x v="11"/>
    <x v="3"/>
    <x v="1"/>
    <x v="0"/>
    <s v="Leather Belt"/>
    <n v="15"/>
    <n v="690"/>
    <n v="15"/>
    <n v="8797.5"/>
    <x v="1"/>
    <n v="8107.5"/>
    <x v="0"/>
  </r>
  <r>
    <s v="WD0153"/>
    <d v="2024-12-03T00:00:00"/>
    <x v="11"/>
    <x v="3"/>
    <x v="3"/>
    <x v="1"/>
    <s v="Formal Black Trousers"/>
    <n v="11"/>
    <n v="2480"/>
    <n v="30"/>
    <n v="19096"/>
    <x v="3"/>
    <n v="16616"/>
    <x v="0"/>
  </r>
  <r>
    <s v="WD0175"/>
    <d v="2024-12-03T00:00:00"/>
    <x v="11"/>
    <x v="3"/>
    <x v="1"/>
    <x v="4"/>
    <s v="Leather Jacket"/>
    <n v="1"/>
    <n v="8620"/>
    <n v="25"/>
    <n v="6465"/>
    <x v="10"/>
    <n v="-2155"/>
    <x v="0"/>
  </r>
  <r>
    <s v="WD0627"/>
    <d v="2024-12-03T00:00:00"/>
    <x v="11"/>
    <x v="3"/>
    <x v="1"/>
    <x v="1"/>
    <s v="Jogger Pants"/>
    <n v="6"/>
    <n v="2110"/>
    <n v="20"/>
    <n v="10128"/>
    <x v="1"/>
    <n v="8018"/>
    <x v="0"/>
  </r>
  <r>
    <s v="WD0664"/>
    <d v="2024-12-03T00:00:00"/>
    <x v="11"/>
    <x v="3"/>
    <x v="3"/>
    <x v="0"/>
    <s v="Handbag"/>
    <n v="14"/>
    <n v="2290"/>
    <n v="30"/>
    <n v="22442"/>
    <x v="6"/>
    <n v="20152"/>
    <x v="0"/>
  </r>
  <r>
    <s v="WD0580"/>
    <d v="2024-12-03T00:00:00"/>
    <x v="11"/>
    <x v="3"/>
    <x v="0"/>
    <x v="0"/>
    <s v="Cap"/>
    <n v="2"/>
    <n v="2230"/>
    <n v="0"/>
    <n v="4460"/>
    <x v="11"/>
    <n v="2230"/>
    <x v="0"/>
  </r>
  <r>
    <s v="WD0361"/>
    <d v="2024-12-04T00:00:00"/>
    <x v="11"/>
    <x v="3"/>
    <x v="3"/>
    <x v="2"/>
    <s v="Lehenga"/>
    <n v="11"/>
    <n v="6470"/>
    <n v="20"/>
    <n v="56936"/>
    <x v="7"/>
    <n v="50466"/>
    <x v="0"/>
  </r>
  <r>
    <s v="WD0499"/>
    <d v="2024-12-04T00:00:00"/>
    <x v="11"/>
    <x v="3"/>
    <x v="2"/>
    <x v="5"/>
    <s v="Formal Blue Shirt"/>
    <n v="2"/>
    <n v="610"/>
    <n v="10"/>
    <n v="1098"/>
    <x v="9"/>
    <n v="488"/>
    <x v="0"/>
  </r>
  <r>
    <s v="WD0501"/>
    <d v="2024-12-04T00:00:00"/>
    <x v="11"/>
    <x v="3"/>
    <x v="0"/>
    <x v="5"/>
    <s v="Formal Blue Shirt"/>
    <n v="8"/>
    <n v="2090"/>
    <n v="15"/>
    <n v="14212"/>
    <x v="8"/>
    <n v="12122"/>
    <x v="0"/>
  </r>
  <r>
    <s v="WD0068"/>
    <d v="2024-12-05T00:00:00"/>
    <x v="11"/>
    <x v="3"/>
    <x v="0"/>
    <x v="0"/>
    <s v="Silk Scarf"/>
    <n v="5"/>
    <n v="2080"/>
    <n v="20"/>
    <n v="8320"/>
    <x v="0"/>
    <n v="6240"/>
    <x v="0"/>
  </r>
  <r>
    <s v="WD0853"/>
    <d v="2024-12-05T00:00:00"/>
    <x v="11"/>
    <x v="3"/>
    <x v="0"/>
    <x v="4"/>
    <s v="Bomber Jacket"/>
    <n v="4"/>
    <n v="5810"/>
    <n v="5"/>
    <n v="22078"/>
    <x v="0"/>
    <n v="16268"/>
    <x v="0"/>
  </r>
  <r>
    <s v="WD0233"/>
    <d v="2024-12-06T00:00:00"/>
    <x v="11"/>
    <x v="3"/>
    <x v="0"/>
    <x v="5"/>
    <s v="Formal Blue Shirt"/>
    <n v="7"/>
    <n v="1060"/>
    <n v="5"/>
    <n v="7049"/>
    <x v="0"/>
    <n v="5989"/>
    <x v="0"/>
  </r>
  <r>
    <s v="WD0184"/>
    <d v="2024-12-06T00:00:00"/>
    <x v="11"/>
    <x v="3"/>
    <x v="1"/>
    <x v="2"/>
    <s v="Sherwani"/>
    <n v="7"/>
    <n v="9200"/>
    <n v="10"/>
    <n v="57960"/>
    <x v="1"/>
    <n v="48760"/>
    <x v="0"/>
  </r>
  <r>
    <s v="WD0899"/>
    <d v="2024-12-06T00:00:00"/>
    <x v="11"/>
    <x v="3"/>
    <x v="1"/>
    <x v="4"/>
    <s v="Leather Jacket"/>
    <n v="1"/>
    <n v="6570"/>
    <n v="0"/>
    <n v="6570"/>
    <x v="1"/>
    <n v="0"/>
    <x v="0"/>
  </r>
  <r>
    <s v="WD0380"/>
    <d v="2024-12-06T00:00:00"/>
    <x v="11"/>
    <x v="3"/>
    <x v="1"/>
    <x v="3"/>
    <s v="Floral Maxi Dress"/>
    <n v="4"/>
    <n v="1550"/>
    <n v="25"/>
    <n v="4650"/>
    <x v="1"/>
    <n v="3100"/>
    <x v="0"/>
  </r>
  <r>
    <s v="WD0346"/>
    <d v="2024-12-07T00:00:00"/>
    <x v="11"/>
    <x v="3"/>
    <x v="1"/>
    <x v="1"/>
    <s v="Cargo Trousers"/>
    <n v="10"/>
    <n v="1810"/>
    <n v="25"/>
    <n v="13575"/>
    <x v="10"/>
    <n v="11765"/>
    <x v="0"/>
  </r>
  <r>
    <s v="WD0344"/>
    <d v="2024-12-08T00:00:00"/>
    <x v="11"/>
    <x v="3"/>
    <x v="1"/>
    <x v="2"/>
    <s v="Kurta Set"/>
    <n v="2"/>
    <n v="11150"/>
    <n v="30"/>
    <n v="15610"/>
    <x v="4"/>
    <n v="4460"/>
    <x v="0"/>
  </r>
  <r>
    <s v="WD0028"/>
    <d v="2024-12-08T00:00:00"/>
    <x v="11"/>
    <x v="3"/>
    <x v="1"/>
    <x v="5"/>
    <s v="Formal Blue Shirt"/>
    <n v="4"/>
    <n v="730"/>
    <n v="10"/>
    <n v="2628"/>
    <x v="1"/>
    <n v="1898"/>
    <x v="0"/>
  </r>
  <r>
    <s v="WD0055"/>
    <d v="2024-12-08T00:00:00"/>
    <x v="11"/>
    <x v="3"/>
    <x v="2"/>
    <x v="0"/>
    <s v="Cap"/>
    <n v="7"/>
    <n v="2410"/>
    <n v="30"/>
    <n v="11809"/>
    <x v="9"/>
    <n v="9399"/>
    <x v="0"/>
  </r>
  <r>
    <s v="WD0042"/>
    <d v="2024-12-09T00:00:00"/>
    <x v="11"/>
    <x v="3"/>
    <x v="3"/>
    <x v="1"/>
    <s v="Jogger Pants"/>
    <n v="7"/>
    <n v="1440"/>
    <n v="5"/>
    <n v="9576"/>
    <x v="3"/>
    <n v="8136"/>
    <x v="0"/>
  </r>
  <r>
    <s v="WD0845"/>
    <d v="2024-12-09T00:00:00"/>
    <x v="11"/>
    <x v="3"/>
    <x v="0"/>
    <x v="2"/>
    <s v="Sherwani"/>
    <n v="14"/>
    <n v="5090"/>
    <n v="5"/>
    <n v="67697"/>
    <x v="0"/>
    <n v="62607"/>
    <x v="0"/>
  </r>
  <r>
    <s v="WD0952"/>
    <d v="2024-12-10T00:00:00"/>
    <x v="11"/>
    <x v="3"/>
    <x v="1"/>
    <x v="4"/>
    <s v="Bomber Jacket"/>
    <n v="6"/>
    <n v="5160"/>
    <n v="30"/>
    <n v="21672"/>
    <x v="10"/>
    <n v="16512"/>
    <x v="0"/>
  </r>
  <r>
    <s v="WD0444"/>
    <d v="2024-12-11T00:00:00"/>
    <x v="11"/>
    <x v="3"/>
    <x v="3"/>
    <x v="1"/>
    <s v="Jogger Pants"/>
    <n v="15"/>
    <n v="2890"/>
    <n v="20"/>
    <n v="34680"/>
    <x v="3"/>
    <n v="31790"/>
    <x v="0"/>
  </r>
  <r>
    <s v="WD0689"/>
    <d v="2024-12-11T00:00:00"/>
    <x v="11"/>
    <x v="3"/>
    <x v="0"/>
    <x v="5"/>
    <s v="Striped Shirt"/>
    <n v="1"/>
    <n v="1200"/>
    <n v="0"/>
    <n v="1200"/>
    <x v="11"/>
    <n v="0"/>
    <x v="0"/>
  </r>
  <r>
    <s v="WD0529"/>
    <d v="2024-12-12T00:00:00"/>
    <x v="11"/>
    <x v="3"/>
    <x v="0"/>
    <x v="3"/>
    <s v="Wrap Dress"/>
    <n v="8"/>
    <n v="2260"/>
    <n v="10"/>
    <n v="16272"/>
    <x v="0"/>
    <n v="14012"/>
    <x v="0"/>
  </r>
  <r>
    <s v="WD0065"/>
    <d v="2024-12-12T00:00:00"/>
    <x v="11"/>
    <x v="3"/>
    <x v="3"/>
    <x v="2"/>
    <s v="Saree"/>
    <n v="11"/>
    <n v="3710"/>
    <n v="15"/>
    <n v="34688.5"/>
    <x v="3"/>
    <n v="30978.5"/>
    <x v="0"/>
  </r>
  <r>
    <s v="WD0411"/>
    <d v="2024-12-12T00:00:00"/>
    <x v="11"/>
    <x v="3"/>
    <x v="2"/>
    <x v="0"/>
    <s v="Cap"/>
    <n v="13"/>
    <n v="2540"/>
    <n v="30"/>
    <n v="23114"/>
    <x v="2"/>
    <n v="20574"/>
    <x v="0"/>
  </r>
  <r>
    <s v="WD0193"/>
    <d v="2024-12-13T00:00:00"/>
    <x v="11"/>
    <x v="3"/>
    <x v="3"/>
    <x v="1"/>
    <s v="Slim Fit Chinos"/>
    <n v="2"/>
    <n v="1730"/>
    <n v="10"/>
    <n v="3114"/>
    <x v="3"/>
    <n v="1384"/>
    <x v="0"/>
  </r>
  <r>
    <s v="WD0570"/>
    <d v="2024-12-13T00:00:00"/>
    <x v="11"/>
    <x v="3"/>
    <x v="1"/>
    <x v="5"/>
    <s v="Formal Blue Shirt"/>
    <n v="1"/>
    <n v="1840"/>
    <n v="25"/>
    <n v="1380"/>
    <x v="10"/>
    <n v="-460"/>
    <x v="0"/>
  </r>
  <r>
    <s v="WD0629"/>
    <d v="2024-12-13T00:00:00"/>
    <x v="11"/>
    <x v="3"/>
    <x v="2"/>
    <x v="1"/>
    <s v="Cargo Trousers"/>
    <n v="6"/>
    <n v="1550"/>
    <n v="5"/>
    <n v="8835"/>
    <x v="9"/>
    <n v="7285"/>
    <x v="0"/>
  </r>
  <r>
    <s v="WD0212"/>
    <d v="2024-12-13T00:00:00"/>
    <x v="11"/>
    <x v="3"/>
    <x v="1"/>
    <x v="0"/>
    <s v="Cap"/>
    <n v="2"/>
    <n v="480"/>
    <n v="20"/>
    <n v="768"/>
    <x v="1"/>
    <n v="288"/>
    <x v="0"/>
  </r>
  <r>
    <s v="WD0594"/>
    <d v="2024-12-15T00:00:00"/>
    <x v="11"/>
    <x v="3"/>
    <x v="1"/>
    <x v="1"/>
    <s v="Jogger Pants"/>
    <n v="3"/>
    <n v="2820"/>
    <n v="10"/>
    <n v="7614"/>
    <x v="1"/>
    <n v="4794"/>
    <x v="0"/>
  </r>
  <r>
    <s v="WD0516"/>
    <d v="2024-12-16T00:00:00"/>
    <x v="11"/>
    <x v="3"/>
    <x v="3"/>
    <x v="3"/>
    <s v="Evening Gown"/>
    <n v="14"/>
    <n v="5210"/>
    <n v="25"/>
    <n v="54705"/>
    <x v="6"/>
    <n v="49495"/>
    <x v="0"/>
  </r>
  <r>
    <s v="WD0636"/>
    <d v="2024-12-16T00:00:00"/>
    <x v="11"/>
    <x v="3"/>
    <x v="1"/>
    <x v="0"/>
    <s v="Silk Scarf"/>
    <n v="13"/>
    <n v="2590"/>
    <n v="20"/>
    <n v="26936"/>
    <x v="4"/>
    <n v="24346"/>
    <x v="0"/>
  </r>
  <r>
    <s v="WD0215"/>
    <d v="2024-12-16T00:00:00"/>
    <x v="11"/>
    <x v="3"/>
    <x v="0"/>
    <x v="0"/>
    <s v="Cap"/>
    <n v="11"/>
    <n v="2490"/>
    <n v="25"/>
    <n v="20542.5"/>
    <x v="0"/>
    <n v="18052.5"/>
    <x v="0"/>
  </r>
  <r>
    <s v="WD0597"/>
    <d v="2024-12-16T00:00:00"/>
    <x v="11"/>
    <x v="3"/>
    <x v="3"/>
    <x v="0"/>
    <s v="Leather Belt"/>
    <n v="7"/>
    <n v="2800"/>
    <n v="15"/>
    <n v="16660"/>
    <x v="7"/>
    <n v="13860"/>
    <x v="0"/>
  </r>
  <r>
    <s v="WD0771"/>
    <d v="2024-12-16T00:00:00"/>
    <x v="11"/>
    <x v="3"/>
    <x v="2"/>
    <x v="4"/>
    <s v="Denim Jacket"/>
    <n v="4"/>
    <n v="8470"/>
    <n v="5"/>
    <n v="32186"/>
    <x v="2"/>
    <n v="23716"/>
    <x v="0"/>
  </r>
  <r>
    <s v="WD0987"/>
    <d v="2024-12-16T00:00:00"/>
    <x v="11"/>
    <x v="3"/>
    <x v="2"/>
    <x v="5"/>
    <s v="Casual Polo"/>
    <n v="14"/>
    <n v="1630"/>
    <n v="10"/>
    <n v="20538"/>
    <x v="2"/>
    <n v="18908"/>
    <x v="0"/>
  </r>
  <r>
    <s v="WD0151"/>
    <d v="2024-12-17T00:00:00"/>
    <x v="11"/>
    <x v="3"/>
    <x v="3"/>
    <x v="5"/>
    <s v="Striped Shirt"/>
    <n v="10"/>
    <n v="1120"/>
    <n v="30"/>
    <n v="7840"/>
    <x v="3"/>
    <n v="6720"/>
    <x v="0"/>
  </r>
  <r>
    <s v="WD0465"/>
    <d v="2024-12-17T00:00:00"/>
    <x v="11"/>
    <x v="3"/>
    <x v="1"/>
    <x v="1"/>
    <s v="Formal Black Trousers"/>
    <n v="7"/>
    <n v="1330"/>
    <n v="10"/>
    <n v="8379"/>
    <x v="10"/>
    <n v="7049"/>
    <x v="0"/>
  </r>
  <r>
    <s v="WD0732"/>
    <d v="2024-12-17T00:00:00"/>
    <x v="11"/>
    <x v="3"/>
    <x v="2"/>
    <x v="3"/>
    <s v="Floral Maxi Dress"/>
    <n v="8"/>
    <n v="2240"/>
    <n v="0"/>
    <n v="17920"/>
    <x v="9"/>
    <n v="15680"/>
    <x v="0"/>
  </r>
  <r>
    <s v="WD0688"/>
    <d v="2024-12-17T00:00:00"/>
    <x v="11"/>
    <x v="3"/>
    <x v="0"/>
    <x v="4"/>
    <s v="Denim Jacket"/>
    <n v="7"/>
    <n v="5520"/>
    <n v="30"/>
    <n v="27048"/>
    <x v="11"/>
    <n v="21528"/>
    <x v="0"/>
  </r>
  <r>
    <s v="WD0284"/>
    <d v="2024-12-18T00:00:00"/>
    <x v="11"/>
    <x v="3"/>
    <x v="3"/>
    <x v="0"/>
    <s v="Leather Belt"/>
    <n v="10"/>
    <n v="2940"/>
    <n v="10"/>
    <n v="26460"/>
    <x v="3"/>
    <n v="23520"/>
    <x v="0"/>
  </r>
  <r>
    <s v="WD0524"/>
    <d v="2024-12-18T00:00:00"/>
    <x v="11"/>
    <x v="3"/>
    <x v="0"/>
    <x v="2"/>
    <s v="Sherwani"/>
    <n v="14"/>
    <n v="5460"/>
    <n v="10"/>
    <n v="68796"/>
    <x v="11"/>
    <n v="63336"/>
    <x v="0"/>
  </r>
  <r>
    <s v="WD0514"/>
    <d v="2024-12-19T00:00:00"/>
    <x v="11"/>
    <x v="3"/>
    <x v="0"/>
    <x v="1"/>
    <s v="Cargo Trousers"/>
    <n v="15"/>
    <n v="900"/>
    <n v="10"/>
    <n v="12150"/>
    <x v="11"/>
    <n v="11250"/>
    <x v="0"/>
  </r>
  <r>
    <s v="WD0292"/>
    <d v="2024-12-19T00:00:00"/>
    <x v="11"/>
    <x v="3"/>
    <x v="3"/>
    <x v="1"/>
    <s v="Jogger Pants"/>
    <n v="12"/>
    <n v="2880"/>
    <n v="5"/>
    <n v="32832"/>
    <x v="3"/>
    <n v="29952"/>
    <x v="0"/>
  </r>
  <r>
    <s v="WD0731"/>
    <d v="2024-12-19T00:00:00"/>
    <x v="11"/>
    <x v="3"/>
    <x v="1"/>
    <x v="4"/>
    <s v="Leather Jacket"/>
    <n v="1"/>
    <n v="2060"/>
    <n v="20"/>
    <n v="1648"/>
    <x v="1"/>
    <n v="-412"/>
    <x v="0"/>
  </r>
  <r>
    <s v="WD0354"/>
    <d v="2024-12-20T00:00:00"/>
    <x v="11"/>
    <x v="3"/>
    <x v="1"/>
    <x v="2"/>
    <s v="Kurta Set"/>
    <n v="15"/>
    <n v="4140"/>
    <n v="30"/>
    <n v="43470"/>
    <x v="10"/>
    <n v="39330"/>
    <x v="0"/>
  </r>
  <r>
    <s v="WD0940"/>
    <d v="2024-12-20T00:00:00"/>
    <x v="11"/>
    <x v="3"/>
    <x v="0"/>
    <x v="4"/>
    <s v="Leather Jacket"/>
    <n v="13"/>
    <n v="2580"/>
    <n v="0"/>
    <n v="33540"/>
    <x v="0"/>
    <n v="30960"/>
    <x v="0"/>
  </r>
  <r>
    <s v="WD0379"/>
    <d v="2024-12-20T00:00:00"/>
    <x v="11"/>
    <x v="3"/>
    <x v="1"/>
    <x v="4"/>
    <s v="Blazer"/>
    <n v="9"/>
    <n v="6070"/>
    <n v="20"/>
    <n v="43704"/>
    <x v="1"/>
    <n v="37634"/>
    <x v="0"/>
  </r>
  <r>
    <s v="WD0852"/>
    <d v="2024-12-21T00:00:00"/>
    <x v="11"/>
    <x v="3"/>
    <x v="2"/>
    <x v="4"/>
    <s v="Blazer"/>
    <n v="4"/>
    <n v="2460"/>
    <n v="30"/>
    <n v="6888"/>
    <x v="9"/>
    <n v="4428"/>
    <x v="0"/>
  </r>
  <r>
    <s v="WD0253"/>
    <d v="2024-12-21T00:00:00"/>
    <x v="11"/>
    <x v="3"/>
    <x v="3"/>
    <x v="0"/>
    <s v="Handbag"/>
    <n v="10"/>
    <n v="880"/>
    <n v="10"/>
    <n v="7920"/>
    <x v="7"/>
    <n v="7040"/>
    <x v="0"/>
  </r>
  <r>
    <s v="WD0187"/>
    <d v="2024-12-21T00:00:00"/>
    <x v="11"/>
    <x v="3"/>
    <x v="2"/>
    <x v="4"/>
    <s v="Denim Jacket"/>
    <n v="11"/>
    <n v="6260"/>
    <n v="30"/>
    <n v="48202"/>
    <x v="2"/>
    <n v="41942"/>
    <x v="0"/>
  </r>
  <r>
    <s v="WD0164"/>
    <d v="2024-12-22T00:00:00"/>
    <x v="11"/>
    <x v="3"/>
    <x v="1"/>
    <x v="1"/>
    <s v="Formal Black Trousers"/>
    <n v="6"/>
    <n v="1850"/>
    <n v="25"/>
    <n v="8325"/>
    <x v="10"/>
    <n v="6475"/>
    <x v="0"/>
  </r>
  <r>
    <s v="WD0939"/>
    <d v="2024-12-22T00:00:00"/>
    <x v="11"/>
    <x v="3"/>
    <x v="1"/>
    <x v="4"/>
    <s v="Denim Jacket"/>
    <n v="7"/>
    <n v="4980"/>
    <n v="15"/>
    <n v="29631"/>
    <x v="4"/>
    <n v="24651"/>
    <x v="0"/>
  </r>
  <r>
    <s v="WD0657"/>
    <d v="2024-12-22T00:00:00"/>
    <x v="11"/>
    <x v="3"/>
    <x v="2"/>
    <x v="4"/>
    <s v="Blazer"/>
    <n v="13"/>
    <n v="4450"/>
    <n v="25"/>
    <n v="43387.5"/>
    <x v="9"/>
    <n v="38937.5"/>
    <x v="0"/>
  </r>
  <r>
    <s v="WD0775"/>
    <d v="2024-12-23T00:00:00"/>
    <x v="11"/>
    <x v="3"/>
    <x v="3"/>
    <x v="2"/>
    <s v="Lehenga"/>
    <n v="3"/>
    <n v="8660"/>
    <n v="25"/>
    <n v="19485"/>
    <x v="3"/>
    <n v="10825"/>
    <x v="0"/>
  </r>
  <r>
    <s v="WD0477"/>
    <d v="2024-12-23T00:00:00"/>
    <x v="11"/>
    <x v="3"/>
    <x v="2"/>
    <x v="1"/>
    <s v="Formal Black Trousers"/>
    <n v="13"/>
    <n v="2400"/>
    <n v="25"/>
    <n v="23400"/>
    <x v="2"/>
    <n v="21000"/>
    <x v="0"/>
  </r>
  <r>
    <s v="WD0107"/>
    <d v="2024-12-23T00:00:00"/>
    <x v="11"/>
    <x v="3"/>
    <x v="2"/>
    <x v="3"/>
    <s v="Floral Maxi Dress"/>
    <n v="9"/>
    <n v="5870"/>
    <n v="10"/>
    <n v="47547"/>
    <x v="5"/>
    <n v="41677"/>
    <x v="0"/>
  </r>
  <r>
    <s v="WD0510"/>
    <d v="2024-12-24T00:00:00"/>
    <x v="11"/>
    <x v="3"/>
    <x v="3"/>
    <x v="2"/>
    <s v="Lehenga"/>
    <n v="1"/>
    <n v="12050"/>
    <n v="30"/>
    <n v="8435"/>
    <x v="3"/>
    <n v="-3615"/>
    <x v="0"/>
  </r>
  <r>
    <s v="WD0455"/>
    <d v="2024-12-24T00:00:00"/>
    <x v="11"/>
    <x v="3"/>
    <x v="1"/>
    <x v="5"/>
    <s v="Casual Polo"/>
    <n v="9"/>
    <n v="2300"/>
    <n v="15"/>
    <n v="17595"/>
    <x v="1"/>
    <n v="15295"/>
    <x v="0"/>
  </r>
  <r>
    <s v="WD0733"/>
    <d v="2024-12-25T00:00:00"/>
    <x v="11"/>
    <x v="3"/>
    <x v="3"/>
    <x v="0"/>
    <s v="Leather Belt"/>
    <n v="11"/>
    <n v="460"/>
    <n v="5"/>
    <n v="4807"/>
    <x v="3"/>
    <n v="4347"/>
    <x v="0"/>
  </r>
  <r>
    <s v="WD0679"/>
    <d v="2024-12-25T00:00:00"/>
    <x v="11"/>
    <x v="3"/>
    <x v="3"/>
    <x v="5"/>
    <s v="Striped Shirt"/>
    <n v="4"/>
    <n v="1800"/>
    <n v="25"/>
    <n v="5400"/>
    <x v="6"/>
    <n v="3600"/>
    <x v="0"/>
  </r>
  <r>
    <s v="WD0861"/>
    <d v="2024-12-25T00:00:00"/>
    <x v="11"/>
    <x v="3"/>
    <x v="3"/>
    <x v="5"/>
    <s v="Formal Blue Shirt"/>
    <n v="4"/>
    <n v="2240"/>
    <n v="15"/>
    <n v="7616"/>
    <x v="3"/>
    <n v="5376"/>
    <x v="0"/>
  </r>
  <r>
    <s v="WD0461"/>
    <d v="2024-12-26T00:00:00"/>
    <x v="11"/>
    <x v="3"/>
    <x v="3"/>
    <x v="5"/>
    <s v="Classic White Shirt"/>
    <n v="11"/>
    <n v="900"/>
    <n v="10"/>
    <n v="8910"/>
    <x v="3"/>
    <n v="8010"/>
    <x v="0"/>
  </r>
  <r>
    <s v="WD0391"/>
    <d v="2024-12-26T00:00:00"/>
    <x v="11"/>
    <x v="3"/>
    <x v="0"/>
    <x v="4"/>
    <s v="Denim Jacket"/>
    <n v="4"/>
    <n v="6930"/>
    <n v="10"/>
    <n v="24948"/>
    <x v="11"/>
    <n v="18018"/>
    <x v="0"/>
  </r>
  <r>
    <s v="WD0495"/>
    <d v="2024-12-26T00:00:00"/>
    <x v="11"/>
    <x v="3"/>
    <x v="1"/>
    <x v="2"/>
    <s v="Kurta Set"/>
    <n v="10"/>
    <n v="5390"/>
    <n v="15"/>
    <n v="45815"/>
    <x v="4"/>
    <n v="40425"/>
    <x v="0"/>
  </r>
  <r>
    <s v="WD0841"/>
    <d v="2024-12-26T00:00:00"/>
    <x v="11"/>
    <x v="3"/>
    <x v="1"/>
    <x v="1"/>
    <s v="Jogger Pants"/>
    <n v="5"/>
    <n v="2280"/>
    <n v="5"/>
    <n v="10830"/>
    <x v="1"/>
    <n v="8550"/>
    <x v="0"/>
  </r>
  <r>
    <s v="WD0408"/>
    <d v="2024-12-26T00:00:00"/>
    <x v="11"/>
    <x v="3"/>
    <x v="3"/>
    <x v="2"/>
    <s v="Sherwani"/>
    <n v="3"/>
    <n v="8360"/>
    <n v="10"/>
    <n v="22572"/>
    <x v="7"/>
    <n v="14212"/>
    <x v="0"/>
  </r>
  <r>
    <s v="WD0394"/>
    <d v="2024-12-27T00:00:00"/>
    <x v="11"/>
    <x v="3"/>
    <x v="3"/>
    <x v="3"/>
    <s v="Wrap Dress"/>
    <n v="14"/>
    <n v="4090"/>
    <n v="25"/>
    <n v="42945"/>
    <x v="7"/>
    <n v="38855"/>
    <x v="0"/>
  </r>
  <r>
    <s v="WD0078"/>
    <d v="2024-12-27T00:00:00"/>
    <x v="11"/>
    <x v="3"/>
    <x v="1"/>
    <x v="1"/>
    <s v="Formal Black Trousers"/>
    <n v="12"/>
    <n v="1420"/>
    <n v="5"/>
    <n v="16188"/>
    <x v="4"/>
    <n v="14768"/>
    <x v="0"/>
  </r>
  <r>
    <s v="WD0831"/>
    <d v="2024-12-27T00:00:00"/>
    <x v="11"/>
    <x v="3"/>
    <x v="0"/>
    <x v="1"/>
    <s v="Slim Fit Chinos"/>
    <n v="13"/>
    <n v="3130"/>
    <n v="10"/>
    <n v="36621"/>
    <x v="8"/>
    <n v="33491"/>
    <x v="0"/>
  </r>
  <r>
    <s v="WD0115"/>
    <d v="2024-12-27T00:00:00"/>
    <x v="11"/>
    <x v="3"/>
    <x v="0"/>
    <x v="0"/>
    <s v="Handbag"/>
    <n v="4"/>
    <n v="1090"/>
    <n v="10"/>
    <n v="3924"/>
    <x v="8"/>
    <n v="2834"/>
    <x v="0"/>
  </r>
  <r>
    <s v="WD0345"/>
    <d v="2024-12-28T00:00:00"/>
    <x v="11"/>
    <x v="3"/>
    <x v="1"/>
    <x v="4"/>
    <s v="Leather Jacket"/>
    <n v="4"/>
    <n v="7900"/>
    <n v="0"/>
    <n v="31600"/>
    <x v="4"/>
    <n v="23700"/>
    <x v="0"/>
  </r>
  <r>
    <s v="WD0331"/>
    <d v="2024-12-28T00:00:00"/>
    <x v="11"/>
    <x v="3"/>
    <x v="2"/>
    <x v="2"/>
    <s v="Lehenga"/>
    <n v="4"/>
    <n v="4270"/>
    <n v="10"/>
    <n v="15372"/>
    <x v="5"/>
    <n v="11102"/>
    <x v="0"/>
  </r>
  <r>
    <s v="WD0804"/>
    <d v="2024-12-30T00:00:00"/>
    <x v="11"/>
    <x v="3"/>
    <x v="2"/>
    <x v="4"/>
    <s v="Denim Jacket"/>
    <n v="12"/>
    <n v="3750"/>
    <n v="25"/>
    <n v="33750"/>
    <x v="5"/>
    <n v="30000"/>
    <x v="0"/>
  </r>
  <r>
    <s v="WD0960"/>
    <d v="2024-12-30T00:00:00"/>
    <x v="11"/>
    <x v="3"/>
    <x v="3"/>
    <x v="3"/>
    <s v="Wrap Dress"/>
    <n v="10"/>
    <n v="5780"/>
    <n v="5"/>
    <n v="54910"/>
    <x v="3"/>
    <n v="49130"/>
    <x v="0"/>
  </r>
  <r>
    <s v="WD0454"/>
    <d v="2024-12-30T00:00:00"/>
    <x v="11"/>
    <x v="3"/>
    <x v="2"/>
    <x v="2"/>
    <s v="Saree"/>
    <n v="1"/>
    <n v="6330"/>
    <n v="5"/>
    <n v="6013.5"/>
    <x v="2"/>
    <n v="-316.5"/>
    <x v="0"/>
  </r>
  <r>
    <s v="WD0178"/>
    <d v="2024-12-30T00:00:00"/>
    <x v="11"/>
    <x v="3"/>
    <x v="1"/>
    <x v="1"/>
    <s v="Jogger Pants"/>
    <n v="10"/>
    <n v="2480"/>
    <n v="20"/>
    <n v="19840"/>
    <x v="1"/>
    <n v="17360"/>
    <x v="0"/>
  </r>
  <r>
    <s v="WD0780"/>
    <d v="2024-12-30T00:00:00"/>
    <x v="11"/>
    <x v="3"/>
    <x v="1"/>
    <x v="1"/>
    <s v="Formal Black Trousers"/>
    <n v="8"/>
    <n v="2150"/>
    <n v="20"/>
    <n v="13760"/>
    <x v="4"/>
    <n v="116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32F2B0-23A7-4A07-8C8D-1D563C1780E6}"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4">
    <pivotField showAll="0"/>
    <pivotField numFmtId="14" showAll="0"/>
    <pivotField showAll="0"/>
    <pivotField showAll="0">
      <items count="5">
        <item x="0"/>
        <item x="1"/>
        <item x="2"/>
        <item x="3"/>
        <item t="default"/>
      </items>
    </pivotField>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numFmtId="165" showAll="0"/>
    <pivotField showAll="0"/>
  </pivotFields>
  <rowFields count="1">
    <field x="4"/>
  </rowFields>
  <rowItems count="5">
    <i>
      <x v="3"/>
    </i>
    <i>
      <x v="1"/>
    </i>
    <i>
      <x v="2"/>
    </i>
    <i>
      <x/>
    </i>
    <i t="grand">
      <x/>
    </i>
  </rowItems>
  <colItems count="1">
    <i/>
  </colItems>
  <dataFields count="1">
    <dataField name="Sum of Revenue_INR"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649F-1351-45AE-BF7A-E823017753B2}"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14">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numFmtId="165" showAll="0"/>
    <pivotField dataField="1"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date_year" fld="13" baseField="0" baseItem="0"/>
    <dataField name="Sum of Revenue_INR" fld="10"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19C3CC-E9D4-4D8E-B31C-4FFFCCA4D0F0}"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6" firstHeaderRow="0" firstDataRow="1" firstDataCol="1"/>
  <pivotFields count="14">
    <pivotField showAll="0"/>
    <pivotField numFmtId="14" showAll="0"/>
    <pivotField showAll="0"/>
    <pivotField showAll="0"/>
    <pivotField showAll="0"/>
    <pivotField showAll="0"/>
    <pivotField showAll="0"/>
    <pivotField dataField="1" showAll="0"/>
    <pivotField showAll="0"/>
    <pivotField showAll="0"/>
    <pivotField dataField="1" showAll="0"/>
    <pivotField axis="axisRow" showAll="0">
      <items count="13">
        <item x="10"/>
        <item x="2"/>
        <item x="0"/>
        <item x="11"/>
        <item x="3"/>
        <item x="6"/>
        <item x="1"/>
        <item x="4"/>
        <item x="7"/>
        <item x="8"/>
        <item x="9"/>
        <item x="5"/>
        <item t="default"/>
      </items>
    </pivotField>
    <pivotField dataField="1" numFmtId="165" showAll="0"/>
    <pivotField showAll="0">
      <items count="2">
        <item x="0"/>
        <item t="default"/>
      </items>
    </pivotField>
  </pivotFields>
  <rowFields count="1">
    <field x="1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Revenue_INR" fld="10" baseField="0" baseItem="0"/>
    <dataField name="Sum of Profit" fld="12" baseField="0" baseItem="0" numFmtId="165"/>
    <dataField name="Sum of Units_Sold" fld="7" baseField="0" baseItem="0"/>
  </dataFields>
  <chartFormats count="3">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D49E55-5453-4405-9158-C38957CDE7EE}"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0" firstHeaderRow="0" firstDataRow="1" firstDataCol="1"/>
  <pivotFields count="14">
    <pivotField showAll="0"/>
    <pivotField numFmtId="14" showAll="0"/>
    <pivotField showAll="0"/>
    <pivotField showAll="0"/>
    <pivotField showAll="0"/>
    <pivotField axis="axisRow" showAll="0" sortType="descending">
      <items count="7">
        <item x="0"/>
        <item x="3"/>
        <item x="2"/>
        <item x="4"/>
        <item x="5"/>
        <item x="1"/>
        <item t="default"/>
      </items>
      <autoSortScope>
        <pivotArea dataOnly="0" outline="0" fieldPosition="0">
          <references count="1">
            <reference field="4294967294" count="1" selected="0">
              <x v="2"/>
            </reference>
          </references>
        </pivotArea>
      </autoSortScope>
    </pivotField>
    <pivotField showAll="0"/>
    <pivotField dataField="1" showAll="0"/>
    <pivotField showAll="0"/>
    <pivotField dataField="1" showAll="0"/>
    <pivotField showAll="0"/>
    <pivotField showAll="0"/>
    <pivotField dataField="1" numFmtId="165" showAll="0"/>
    <pivotField showAll="0"/>
  </pivotFields>
  <rowFields count="1">
    <field x="5"/>
  </rowFields>
  <rowItems count="7">
    <i>
      <x v="2"/>
    </i>
    <i>
      <x v="3"/>
    </i>
    <i>
      <x v="1"/>
    </i>
    <i>
      <x v="5"/>
    </i>
    <i>
      <x/>
    </i>
    <i>
      <x v="4"/>
    </i>
    <i t="grand">
      <x/>
    </i>
  </rowItems>
  <colFields count="1">
    <field x="-2"/>
  </colFields>
  <colItems count="3">
    <i>
      <x/>
    </i>
    <i i="1">
      <x v="1"/>
    </i>
    <i i="2">
      <x v="2"/>
    </i>
  </colItems>
  <dataFields count="3">
    <dataField name="Sum of Discount_%" fld="9" baseField="0" baseItem="0"/>
    <dataField name="Sum of Units_Sold" fld="7" baseField="0" baseItem="0"/>
    <dataField name="Sum of Profit" fld="12" baseField="0" baseItem="0" numFmtId="165"/>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year" xr10:uid="{45ED47DE-5725-4D6C-B06B-3381D8CEEFDE}" sourceName="date_year">
  <pivotTables>
    <pivotTable tabId="12" name="PivotTable10"/>
  </pivotTables>
  <data>
    <tabular pivotCacheId="538890573">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5524F80-8C34-4892-A540-FB5D982B9809}" sourceName="Quarter">
  <pivotTables>
    <pivotTable tabId="3" name="PivotTable4"/>
  </pivotTables>
  <data>
    <tabular pivotCacheId="538890573">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8AB605E4-E6FB-4A9C-8B42-D0BA04A48539}" sourceName="Sales_Rep">
  <pivotTables>
    <pivotTable tabId="12" name="PivotTable10"/>
  </pivotTables>
  <data>
    <tabular pivotCacheId="538890573">
      <items count="12">
        <i x="10" s="1"/>
        <i x="2" s="1"/>
        <i x="0" s="1"/>
        <i x="11" s="1"/>
        <i x="3" s="1"/>
        <i x="6" s="1"/>
        <i x="1" s="1"/>
        <i x="4" s="1"/>
        <i x="7" s="1"/>
        <i x="8" s="1"/>
        <i x="9"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31C5378-8D45-4D29-9C31-53F572E7E146}" sourceName="City">
  <pivotTables>
    <pivotTable tabId="3" name="PivotTable4"/>
  </pivotTables>
  <data>
    <tabular pivotCacheId="53889057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_year" xr10:uid="{E97C695D-9E0A-4A84-856E-145F534E28D1}" cache="Slicer_date_year" caption="date_year" style="SlicerStyleLight2" rowHeight="234950"/>
  <slicer name="Quarter" xr10:uid="{5737325B-4612-48BF-A03E-65FE0EA45471}" cache="Slicer_Quarter" caption="Quarter" style="SlicerStyleLight6" rowHeight="234950"/>
  <slicer name="Sales_Rep" xr10:uid="{0EFF42C9-EF97-45C2-8A54-5D6C783CEE44}" cache="Slicer_Sales_Rep" caption="Sales_Rep" style="SlicerStyleOther1" rowHeight="234950"/>
  <slicer name="City" xr10:uid="{93029428-6527-425E-A4B9-B79606A7AA09}" cache="Slicer_City" caption="City"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D5A28E-18A0-4B9C-B146-24029A941C3A}" name="Table1" displayName="Table1" ref="A1:S1001" totalsRowShown="0">
  <autoFilter ref="A1:S1001" xr:uid="{D1D5A28E-18A0-4B9C-B146-24029A941C3A}"/>
  <tableColumns count="19">
    <tableColumn id="1" xr3:uid="{FB8CF1DE-1FAA-481E-88EA-660D857AE570}" name="Order_ID"/>
    <tableColumn id="2" xr3:uid="{295ABFB4-988B-45C9-9496-D5B4E1C49E6A}" name="Date" dataDxfId="7"/>
    <tableColumn id="3" xr3:uid="{5F687BB7-2D5B-48FB-A35D-0AFDDBF633E2}" name="Month"/>
    <tableColumn id="4" xr3:uid="{E1158876-AEA5-4441-A4FB-3A49F4C4050D}" name="Quarter"/>
    <tableColumn id="5" xr3:uid="{371F739E-248B-4719-AF8A-A974ACE59F23}" name="City"/>
    <tableColumn id="6" xr3:uid="{7AF3B4E9-F756-419C-A124-6D3269DD46A1}" name="Category"/>
    <tableColumn id="7" xr3:uid="{9C99436E-DB24-43C1-8300-2F6A44FB666F}" name="Product_Name"/>
    <tableColumn id="8" xr3:uid="{A637392A-8B88-4680-98DB-0046688A84F2}" name="Units_Sold"/>
    <tableColumn id="9" xr3:uid="{0E05CADB-A15C-42EB-91E7-B01A8D3A2758}" name="Price_INR"/>
    <tableColumn id="10" xr3:uid="{BD4867DD-C221-4240-8144-4B246D06BD85}" name="Discount_%"/>
    <tableColumn id="11" xr3:uid="{EEAC142E-254E-434D-A61E-DB23D1355652}" name="Revenue_INR"/>
    <tableColumn id="12" xr3:uid="{F3F58677-1B9F-43B7-9EB4-054FC33B157A}" name="Sales_Rep"/>
    <tableColumn id="13" xr3:uid="{AA7F899D-307A-4940-A927-3C3069108117}" name="Profit" dataDxfId="6">
      <calculatedColumnFormula>Table1[[#This Row],[Revenue_INR]]-Table1[[#This Row],[Price_INR]]</calculatedColumnFormula>
    </tableColumn>
    <tableColumn id="14" xr3:uid="{BBE4AD3A-130C-4B15-A1A1-71B39A2FB683}" name="date_year" dataDxfId="5">
      <calculatedColumnFormula>YEAR(Table1[[#This Row],[Date]])</calculatedColumnFormula>
    </tableColumn>
    <tableColumn id="16" xr3:uid="{4868655E-1465-43F3-A7D9-63EA60BE3C67}" name="Revenue Per Units" dataDxfId="3">
      <calculatedColumnFormula>K2/H2</calculatedColumnFormula>
    </tableColumn>
    <tableColumn id="17" xr3:uid="{1AC5BCE3-1831-47DF-A440-CFA4FDAD2138}" name="Profit Margin%" dataDxfId="1">
      <calculatedColumnFormula>M2/K2*100</calculatedColumnFormula>
    </tableColumn>
    <tableColumn id="18" xr3:uid="{E14FC7AF-A498-4965-980E-E52CDE3065F7}" name="Discount_Impact_INR" dataDxfId="2">
      <calculatedColumnFormula>I2*H2*J2/100</calculatedColumnFormula>
    </tableColumn>
    <tableColumn id="19" xr3:uid="{682B176A-EB1F-4532-840C-430B7DBF1814}" name="Performance" dataDxfId="4">
      <calculatedColumnFormula>IF(K2&gt;AVERAGE($K$2:$K$1001),"Above Average","Below Average")</calculatedColumnFormula>
    </tableColumn>
    <tableColumn id="20" xr3:uid="{22E6F939-E611-4C71-94C5-228AEFC289CE}" name="Quarter_City" dataDxfId="0">
      <calculatedColumnFormula>Table1[[#This Row],[Quarter]]&amp;" - "&amp;Table1[[#This Row],[City]]</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EAF3-BF16-4476-94F3-3A34CF9C0D43}">
  <dimension ref="A1:S1001"/>
  <sheetViews>
    <sheetView topLeftCell="A4" zoomScaleNormal="100" workbookViewId="0">
      <selection activeCell="M1" sqref="M1:M1001"/>
    </sheetView>
  </sheetViews>
  <sheetFormatPr defaultRowHeight="14.4" x14ac:dyDescent="0.3"/>
  <cols>
    <col min="1" max="1" width="10.77734375" bestFit="1" customWidth="1"/>
    <col min="2" max="2" width="10.33203125" bestFit="1" customWidth="1"/>
    <col min="3" max="3" width="9.77734375" bestFit="1" customWidth="1"/>
    <col min="4" max="4" width="9.6640625" bestFit="1" customWidth="1"/>
    <col min="5" max="5" width="9.77734375" bestFit="1" customWidth="1"/>
    <col min="6" max="6" width="10.88671875" bestFit="1" customWidth="1"/>
    <col min="7" max="7" width="19.109375" bestFit="1" customWidth="1"/>
    <col min="8" max="8" width="12.21875" bestFit="1" customWidth="1"/>
    <col min="9" max="9" width="11.33203125" bestFit="1" customWidth="1"/>
    <col min="10" max="10" width="13" bestFit="1" customWidth="1"/>
    <col min="11" max="11" width="14.5546875" bestFit="1" customWidth="1"/>
    <col min="12" max="12" width="14.33203125" bestFit="1" customWidth="1"/>
    <col min="13" max="13" width="14.44140625" bestFit="1" customWidth="1"/>
    <col min="14" max="14" width="11.6640625" bestFit="1" customWidth="1"/>
    <col min="15" max="15" width="19.77734375" bestFit="1" customWidth="1"/>
    <col min="16" max="16" width="15.88671875" bestFit="1" customWidth="1"/>
    <col min="17" max="17" width="21.6640625" bestFit="1" customWidth="1"/>
    <col min="18" max="18" width="14.109375" bestFit="1" customWidth="1"/>
    <col min="19" max="19" width="13.88671875" bestFit="1" customWidth="1"/>
  </cols>
  <sheetData>
    <row r="1" spans="1:19" x14ac:dyDescent="0.3">
      <c r="A1" t="s">
        <v>0</v>
      </c>
      <c r="B1" t="s">
        <v>1</v>
      </c>
      <c r="C1" t="s">
        <v>2</v>
      </c>
      <c r="D1" t="s">
        <v>3</v>
      </c>
      <c r="E1" t="s">
        <v>4</v>
      </c>
      <c r="F1" t="s">
        <v>5</v>
      </c>
      <c r="G1" t="s">
        <v>6</v>
      </c>
      <c r="H1" t="s">
        <v>7</v>
      </c>
      <c r="I1" t="s">
        <v>8</v>
      </c>
      <c r="J1" t="s">
        <v>9</v>
      </c>
      <c r="K1" t="s">
        <v>10</v>
      </c>
      <c r="L1" t="s">
        <v>11</v>
      </c>
      <c r="M1" t="s">
        <v>1074</v>
      </c>
      <c r="N1" t="s">
        <v>1075</v>
      </c>
      <c r="O1" s="2" t="s">
        <v>1081</v>
      </c>
      <c r="P1" t="s">
        <v>1082</v>
      </c>
      <c r="Q1" t="s">
        <v>1083</v>
      </c>
      <c r="R1" t="s">
        <v>1084</v>
      </c>
      <c r="S1" t="s">
        <v>1085</v>
      </c>
    </row>
    <row r="2" spans="1:19" x14ac:dyDescent="0.3">
      <c r="A2" t="s">
        <v>12</v>
      </c>
      <c r="B2" s="1">
        <v>45293</v>
      </c>
      <c r="C2" t="s">
        <v>13</v>
      </c>
      <c r="D2" t="s">
        <v>14</v>
      </c>
      <c r="E2" t="s">
        <v>15</v>
      </c>
      <c r="F2" t="s">
        <v>16</v>
      </c>
      <c r="G2" t="s">
        <v>17</v>
      </c>
      <c r="H2">
        <v>7</v>
      </c>
      <c r="I2">
        <v>2250</v>
      </c>
      <c r="J2">
        <v>10</v>
      </c>
      <c r="K2">
        <v>14175</v>
      </c>
      <c r="L2" t="s">
        <v>18</v>
      </c>
      <c r="M2" s="2">
        <f>Table1[[#This Row],[Revenue_INR]]-Table1[[#This Row],[Price_INR]]</f>
        <v>11925</v>
      </c>
      <c r="N2">
        <f>YEAR(Table1[[#This Row],[Date]])</f>
        <v>2024</v>
      </c>
      <c r="O2" s="2">
        <f t="shared" ref="O2:O65" si="0">K2/H2</f>
        <v>2025</v>
      </c>
      <c r="P2" s="7">
        <f>M2/K2*100</f>
        <v>84.126984126984127</v>
      </c>
      <c r="Q2" s="2">
        <f t="shared" ref="Q2:Q65" si="1">I2*H2*J2/100</f>
        <v>1575</v>
      </c>
      <c r="R2" s="6" t="str">
        <f t="shared" ref="R2:R65" si="2">IF(K2&gt;AVERAGE($K$2:$K$1001),"Above Average","Below Average")</f>
        <v>Below Average</v>
      </c>
      <c r="S2" s="5" t="str">
        <f>Table1[[#This Row],[Quarter]]&amp;" - "&amp;Table1[[#This Row],[City]]</f>
        <v>Q1 - Kolkata</v>
      </c>
    </row>
    <row r="3" spans="1:19" x14ac:dyDescent="0.3">
      <c r="A3" t="s">
        <v>19</v>
      </c>
      <c r="B3" s="1">
        <v>45293</v>
      </c>
      <c r="C3" t="s">
        <v>13</v>
      </c>
      <c r="D3" t="s">
        <v>14</v>
      </c>
      <c r="E3" t="s">
        <v>20</v>
      </c>
      <c r="F3" t="s">
        <v>21</v>
      </c>
      <c r="G3" t="s">
        <v>22</v>
      </c>
      <c r="H3">
        <v>2</v>
      </c>
      <c r="I3">
        <v>1270</v>
      </c>
      <c r="J3">
        <v>5</v>
      </c>
      <c r="K3">
        <v>2413</v>
      </c>
      <c r="L3" t="s">
        <v>23</v>
      </c>
      <c r="M3" s="2">
        <f>Table1[[#This Row],[Revenue_INR]]-Table1[[#This Row],[Price_INR]]</f>
        <v>1143</v>
      </c>
      <c r="N3">
        <f>YEAR(Table1[[#This Row],[Date]])</f>
        <v>2024</v>
      </c>
      <c r="O3" s="2">
        <f t="shared" si="0"/>
        <v>1206.5</v>
      </c>
      <c r="P3" s="7">
        <f t="shared" ref="P2:P65" si="3">M3/K3*100</f>
        <v>47.368421052631575</v>
      </c>
      <c r="Q3" s="2">
        <f t="shared" si="1"/>
        <v>127</v>
      </c>
      <c r="R3" s="6" t="str">
        <f t="shared" si="2"/>
        <v>Below Average</v>
      </c>
      <c r="S3" s="5" t="str">
        <f>Table1[[#This Row],[Quarter]]&amp;" - "&amp;Table1[[#This Row],[City]]</f>
        <v>Q1 - Mumbai</v>
      </c>
    </row>
    <row r="4" spans="1:19" x14ac:dyDescent="0.3">
      <c r="A4" t="s">
        <v>24</v>
      </c>
      <c r="B4" s="1">
        <v>45294</v>
      </c>
      <c r="C4" t="s">
        <v>13</v>
      </c>
      <c r="D4" t="s">
        <v>14</v>
      </c>
      <c r="E4" t="s">
        <v>25</v>
      </c>
      <c r="F4" t="s">
        <v>26</v>
      </c>
      <c r="G4" t="s">
        <v>27</v>
      </c>
      <c r="H4">
        <v>7</v>
      </c>
      <c r="I4">
        <v>10790</v>
      </c>
      <c r="J4">
        <v>5</v>
      </c>
      <c r="K4">
        <v>71753.5</v>
      </c>
      <c r="L4" t="s">
        <v>28</v>
      </c>
      <c r="M4" s="2">
        <f>Table1[[#This Row],[Revenue_INR]]-Table1[[#This Row],[Price_INR]]</f>
        <v>60963.5</v>
      </c>
      <c r="N4">
        <f>YEAR(Table1[[#This Row],[Date]])</f>
        <v>2024</v>
      </c>
      <c r="O4" s="2">
        <f t="shared" si="0"/>
        <v>10250.5</v>
      </c>
      <c r="P4" s="7">
        <f t="shared" si="3"/>
        <v>84.962406015037601</v>
      </c>
      <c r="Q4" s="2">
        <f t="shared" si="1"/>
        <v>3776.5</v>
      </c>
      <c r="R4" s="6" t="str">
        <f t="shared" si="2"/>
        <v>Above Average</v>
      </c>
      <c r="S4" s="5" t="str">
        <f>Table1[[#This Row],[Quarter]]&amp;" - "&amp;Table1[[#This Row],[City]]</f>
        <v>Q1 - Hyderabad</v>
      </c>
    </row>
    <row r="5" spans="1:19" x14ac:dyDescent="0.3">
      <c r="A5" t="s">
        <v>29</v>
      </c>
      <c r="B5" s="1">
        <v>45295</v>
      </c>
      <c r="C5" t="s">
        <v>13</v>
      </c>
      <c r="D5" t="s">
        <v>14</v>
      </c>
      <c r="E5" t="s">
        <v>20</v>
      </c>
      <c r="F5" t="s">
        <v>21</v>
      </c>
      <c r="G5" t="s">
        <v>22</v>
      </c>
      <c r="H5">
        <v>15</v>
      </c>
      <c r="I5">
        <v>2090</v>
      </c>
      <c r="J5">
        <v>5</v>
      </c>
      <c r="K5">
        <v>29782.5</v>
      </c>
      <c r="L5" t="s">
        <v>23</v>
      </c>
      <c r="M5" s="2">
        <f>Table1[[#This Row],[Revenue_INR]]-Table1[[#This Row],[Price_INR]]</f>
        <v>27692.5</v>
      </c>
      <c r="N5">
        <f>YEAR(Table1[[#This Row],[Date]])</f>
        <v>2024</v>
      </c>
      <c r="O5" s="2">
        <f t="shared" si="0"/>
        <v>1985.5</v>
      </c>
      <c r="P5" s="7">
        <f t="shared" si="3"/>
        <v>92.982456140350877</v>
      </c>
      <c r="Q5" s="2">
        <f t="shared" si="1"/>
        <v>1567.5</v>
      </c>
      <c r="R5" s="6" t="str">
        <f t="shared" si="2"/>
        <v>Above Average</v>
      </c>
      <c r="S5" s="5" t="str">
        <f>Table1[[#This Row],[Quarter]]&amp;" - "&amp;Table1[[#This Row],[City]]</f>
        <v>Q1 - Mumbai</v>
      </c>
    </row>
    <row r="6" spans="1:19" x14ac:dyDescent="0.3">
      <c r="A6" t="s">
        <v>30</v>
      </c>
      <c r="B6" s="1">
        <v>45295</v>
      </c>
      <c r="C6" t="s">
        <v>13</v>
      </c>
      <c r="D6" t="s">
        <v>14</v>
      </c>
      <c r="E6" t="s">
        <v>15</v>
      </c>
      <c r="F6" t="s">
        <v>31</v>
      </c>
      <c r="G6" t="s">
        <v>32</v>
      </c>
      <c r="H6">
        <v>12</v>
      </c>
      <c r="I6">
        <v>1030</v>
      </c>
      <c r="J6">
        <v>30</v>
      </c>
      <c r="K6">
        <v>8652</v>
      </c>
      <c r="L6" t="s">
        <v>18</v>
      </c>
      <c r="M6" s="2">
        <f>Table1[[#This Row],[Revenue_INR]]-Table1[[#This Row],[Price_INR]]</f>
        <v>7622</v>
      </c>
      <c r="N6">
        <f>YEAR(Table1[[#This Row],[Date]])</f>
        <v>2024</v>
      </c>
      <c r="O6" s="2">
        <f t="shared" si="0"/>
        <v>721</v>
      </c>
      <c r="P6" s="7">
        <f t="shared" si="3"/>
        <v>88.095238095238088</v>
      </c>
      <c r="Q6" s="2">
        <f t="shared" si="1"/>
        <v>3708</v>
      </c>
      <c r="R6" s="6" t="str">
        <f t="shared" si="2"/>
        <v>Below Average</v>
      </c>
      <c r="S6" s="5" t="str">
        <f>Table1[[#This Row],[Quarter]]&amp;" - "&amp;Table1[[#This Row],[City]]</f>
        <v>Q1 - Kolkata</v>
      </c>
    </row>
    <row r="7" spans="1:19" x14ac:dyDescent="0.3">
      <c r="A7" t="s">
        <v>33</v>
      </c>
      <c r="B7" s="1">
        <v>45295</v>
      </c>
      <c r="C7" t="s">
        <v>13</v>
      </c>
      <c r="D7" t="s">
        <v>14</v>
      </c>
      <c r="E7" t="s">
        <v>34</v>
      </c>
      <c r="F7" t="s">
        <v>31</v>
      </c>
      <c r="G7" t="s">
        <v>35</v>
      </c>
      <c r="H7">
        <v>15</v>
      </c>
      <c r="I7">
        <v>4960</v>
      </c>
      <c r="J7">
        <v>20</v>
      </c>
      <c r="K7">
        <v>59520</v>
      </c>
      <c r="L7" t="s">
        <v>36</v>
      </c>
      <c r="M7" s="2">
        <f>Table1[[#This Row],[Revenue_INR]]-Table1[[#This Row],[Price_INR]]</f>
        <v>54560</v>
      </c>
      <c r="N7">
        <f>YEAR(Table1[[#This Row],[Date]])</f>
        <v>2024</v>
      </c>
      <c r="O7" s="2">
        <f t="shared" si="0"/>
        <v>3968</v>
      </c>
      <c r="P7" s="7">
        <f t="shared" si="3"/>
        <v>91.666666666666657</v>
      </c>
      <c r="Q7" s="2">
        <f t="shared" si="1"/>
        <v>14880</v>
      </c>
      <c r="R7" s="6" t="str">
        <f t="shared" si="2"/>
        <v>Above Average</v>
      </c>
      <c r="S7" s="5" t="str">
        <f>Table1[[#This Row],[Quarter]]&amp;" - "&amp;Table1[[#This Row],[City]]</f>
        <v>Q1 - Delhi</v>
      </c>
    </row>
    <row r="8" spans="1:19" x14ac:dyDescent="0.3">
      <c r="A8" t="s">
        <v>37</v>
      </c>
      <c r="B8" s="1">
        <v>45295</v>
      </c>
      <c r="C8" t="s">
        <v>13</v>
      </c>
      <c r="D8" t="s">
        <v>14</v>
      </c>
      <c r="E8" t="s">
        <v>20</v>
      </c>
      <c r="F8" t="s">
        <v>31</v>
      </c>
      <c r="G8" t="s">
        <v>38</v>
      </c>
      <c r="H8">
        <v>6</v>
      </c>
      <c r="I8">
        <v>3530</v>
      </c>
      <c r="J8">
        <v>30</v>
      </c>
      <c r="K8">
        <v>14826</v>
      </c>
      <c r="L8" t="s">
        <v>39</v>
      </c>
      <c r="M8" s="2">
        <f>Table1[[#This Row],[Revenue_INR]]-Table1[[#This Row],[Price_INR]]</f>
        <v>11296</v>
      </c>
      <c r="N8">
        <f>YEAR(Table1[[#This Row],[Date]])</f>
        <v>2024</v>
      </c>
      <c r="O8" s="2">
        <f t="shared" si="0"/>
        <v>2471</v>
      </c>
      <c r="P8" s="7">
        <f t="shared" si="3"/>
        <v>76.19047619047619</v>
      </c>
      <c r="Q8" s="2">
        <f t="shared" si="1"/>
        <v>6354</v>
      </c>
      <c r="R8" s="5" t="str">
        <f t="shared" si="2"/>
        <v>Below Average</v>
      </c>
      <c r="S8" s="5" t="str">
        <f>Table1[[#This Row],[Quarter]]&amp;" - "&amp;Table1[[#This Row],[City]]</f>
        <v>Q1 - Mumbai</v>
      </c>
    </row>
    <row r="9" spans="1:19" x14ac:dyDescent="0.3">
      <c r="A9" t="s">
        <v>40</v>
      </c>
      <c r="B9" s="1">
        <v>45296</v>
      </c>
      <c r="C9" t="s">
        <v>13</v>
      </c>
      <c r="D9" t="s">
        <v>14</v>
      </c>
      <c r="E9" t="s">
        <v>25</v>
      </c>
      <c r="F9" t="s">
        <v>16</v>
      </c>
      <c r="G9" t="s">
        <v>41</v>
      </c>
      <c r="H9">
        <v>7</v>
      </c>
      <c r="I9">
        <v>1790</v>
      </c>
      <c r="J9">
        <v>20</v>
      </c>
      <c r="K9">
        <v>10024</v>
      </c>
      <c r="L9" t="s">
        <v>42</v>
      </c>
      <c r="M9" s="2">
        <f>Table1[[#This Row],[Revenue_INR]]-Table1[[#This Row],[Price_INR]]</f>
        <v>8234</v>
      </c>
      <c r="N9">
        <f>YEAR(Table1[[#This Row],[Date]])</f>
        <v>2024</v>
      </c>
      <c r="O9" s="2">
        <f t="shared" si="0"/>
        <v>1432</v>
      </c>
      <c r="P9" s="7">
        <f t="shared" si="3"/>
        <v>82.142857142857139</v>
      </c>
      <c r="Q9" s="2">
        <f t="shared" si="1"/>
        <v>2506</v>
      </c>
      <c r="R9" s="5" t="str">
        <f t="shared" si="2"/>
        <v>Below Average</v>
      </c>
      <c r="S9" s="5" t="str">
        <f>Table1[[#This Row],[Quarter]]&amp;" - "&amp;Table1[[#This Row],[City]]</f>
        <v>Q1 - Hyderabad</v>
      </c>
    </row>
    <row r="10" spans="1:19" x14ac:dyDescent="0.3">
      <c r="A10" t="s">
        <v>43</v>
      </c>
      <c r="B10" s="1">
        <v>45296</v>
      </c>
      <c r="C10" t="s">
        <v>13</v>
      </c>
      <c r="D10" t="s">
        <v>14</v>
      </c>
      <c r="E10" t="s">
        <v>34</v>
      </c>
      <c r="F10" t="s">
        <v>16</v>
      </c>
      <c r="G10" t="s">
        <v>44</v>
      </c>
      <c r="H10">
        <v>1</v>
      </c>
      <c r="I10">
        <v>1140</v>
      </c>
      <c r="J10">
        <v>25</v>
      </c>
      <c r="K10">
        <v>855</v>
      </c>
      <c r="L10" t="s">
        <v>45</v>
      </c>
      <c r="M10" s="2">
        <f>Table1[[#This Row],[Revenue_INR]]-Table1[[#This Row],[Price_INR]]</f>
        <v>-285</v>
      </c>
      <c r="N10">
        <f>YEAR(Table1[[#This Row],[Date]])</f>
        <v>2024</v>
      </c>
      <c r="O10" s="2">
        <f t="shared" si="0"/>
        <v>855</v>
      </c>
      <c r="P10" s="7">
        <f t="shared" si="3"/>
        <v>-33.333333333333329</v>
      </c>
      <c r="Q10" s="2">
        <f t="shared" si="1"/>
        <v>285</v>
      </c>
      <c r="R10" s="5" t="str">
        <f t="shared" si="2"/>
        <v>Below Average</v>
      </c>
      <c r="S10" s="5" t="str">
        <f>Table1[[#This Row],[Quarter]]&amp;" - "&amp;Table1[[#This Row],[City]]</f>
        <v>Q1 - Delhi</v>
      </c>
    </row>
    <row r="11" spans="1:19" x14ac:dyDescent="0.3">
      <c r="A11" t="s">
        <v>46</v>
      </c>
      <c r="B11" s="1">
        <v>45296</v>
      </c>
      <c r="C11" t="s">
        <v>13</v>
      </c>
      <c r="D11" t="s">
        <v>14</v>
      </c>
      <c r="E11" t="s">
        <v>34</v>
      </c>
      <c r="F11" t="s">
        <v>47</v>
      </c>
      <c r="G11" t="s">
        <v>48</v>
      </c>
      <c r="H11">
        <v>15</v>
      </c>
      <c r="I11">
        <v>8500</v>
      </c>
      <c r="J11">
        <v>0</v>
      </c>
      <c r="K11">
        <v>127500</v>
      </c>
      <c r="L11" t="s">
        <v>49</v>
      </c>
      <c r="M11" s="2">
        <f>Table1[[#This Row],[Revenue_INR]]-Table1[[#This Row],[Price_INR]]</f>
        <v>119000</v>
      </c>
      <c r="N11">
        <f>YEAR(Table1[[#This Row],[Date]])</f>
        <v>2024</v>
      </c>
      <c r="O11" s="2">
        <f t="shared" si="0"/>
        <v>8500</v>
      </c>
      <c r="P11" s="7">
        <f t="shared" si="3"/>
        <v>93.333333333333329</v>
      </c>
      <c r="Q11" s="2">
        <f t="shared" si="1"/>
        <v>0</v>
      </c>
      <c r="R11" s="5" t="str">
        <f t="shared" si="2"/>
        <v>Above Average</v>
      </c>
      <c r="S11" s="5" t="str">
        <f>Table1[[#This Row],[Quarter]]&amp;" - "&amp;Table1[[#This Row],[City]]</f>
        <v>Q1 - Delhi</v>
      </c>
    </row>
    <row r="12" spans="1:19" x14ac:dyDescent="0.3">
      <c r="A12" t="s">
        <v>50</v>
      </c>
      <c r="B12" s="1">
        <v>45296</v>
      </c>
      <c r="C12" t="s">
        <v>13</v>
      </c>
      <c r="D12" t="s">
        <v>14</v>
      </c>
      <c r="E12" t="s">
        <v>20</v>
      </c>
      <c r="F12" t="s">
        <v>47</v>
      </c>
      <c r="G12" t="s">
        <v>51</v>
      </c>
      <c r="H12">
        <v>10</v>
      </c>
      <c r="I12">
        <v>6530</v>
      </c>
      <c r="J12">
        <v>30</v>
      </c>
      <c r="K12">
        <v>45710</v>
      </c>
      <c r="L12" t="s">
        <v>39</v>
      </c>
      <c r="M12" s="2">
        <f>Table1[[#This Row],[Revenue_INR]]-Table1[[#This Row],[Price_INR]]</f>
        <v>39180</v>
      </c>
      <c r="N12">
        <f>YEAR(Table1[[#This Row],[Date]])</f>
        <v>2024</v>
      </c>
      <c r="O12" s="2">
        <f t="shared" si="0"/>
        <v>4571</v>
      </c>
      <c r="P12" s="7">
        <f t="shared" si="3"/>
        <v>85.714285714285708</v>
      </c>
      <c r="Q12" s="2">
        <f t="shared" si="1"/>
        <v>19590</v>
      </c>
      <c r="R12" s="5" t="str">
        <f t="shared" si="2"/>
        <v>Above Average</v>
      </c>
      <c r="S12" s="5" t="str">
        <f>Table1[[#This Row],[Quarter]]&amp;" - "&amp;Table1[[#This Row],[City]]</f>
        <v>Q1 - Mumbai</v>
      </c>
    </row>
    <row r="13" spans="1:19" x14ac:dyDescent="0.3">
      <c r="A13" t="s">
        <v>52</v>
      </c>
      <c r="B13" s="1">
        <v>45296</v>
      </c>
      <c r="C13" t="s">
        <v>13</v>
      </c>
      <c r="D13" t="s">
        <v>14</v>
      </c>
      <c r="E13" t="s">
        <v>15</v>
      </c>
      <c r="F13" t="s">
        <v>16</v>
      </c>
      <c r="G13" t="s">
        <v>44</v>
      </c>
      <c r="H13">
        <v>11</v>
      </c>
      <c r="I13">
        <v>850</v>
      </c>
      <c r="J13">
        <v>25</v>
      </c>
      <c r="K13">
        <v>7012.5</v>
      </c>
      <c r="L13" t="s">
        <v>53</v>
      </c>
      <c r="M13" s="2">
        <f>Table1[[#This Row],[Revenue_INR]]-Table1[[#This Row],[Price_INR]]</f>
        <v>6162.5</v>
      </c>
      <c r="N13">
        <f>YEAR(Table1[[#This Row],[Date]])</f>
        <v>2024</v>
      </c>
      <c r="O13" s="2">
        <f t="shared" si="0"/>
        <v>637.5</v>
      </c>
      <c r="P13" s="7">
        <f t="shared" si="3"/>
        <v>87.878787878787875</v>
      </c>
      <c r="Q13" s="2">
        <f t="shared" si="1"/>
        <v>2337.5</v>
      </c>
      <c r="R13" s="5" t="str">
        <f t="shared" si="2"/>
        <v>Below Average</v>
      </c>
      <c r="S13" s="5" t="str">
        <f>Table1[[#This Row],[Quarter]]&amp;" - "&amp;Table1[[#This Row],[City]]</f>
        <v>Q1 - Kolkata</v>
      </c>
    </row>
    <row r="14" spans="1:19" x14ac:dyDescent="0.3">
      <c r="A14" t="s">
        <v>54</v>
      </c>
      <c r="B14" s="1">
        <v>45299</v>
      </c>
      <c r="C14" t="s">
        <v>13</v>
      </c>
      <c r="D14" t="s">
        <v>14</v>
      </c>
      <c r="E14" t="s">
        <v>20</v>
      </c>
      <c r="F14" t="s">
        <v>47</v>
      </c>
      <c r="G14" t="s">
        <v>55</v>
      </c>
      <c r="H14">
        <v>9</v>
      </c>
      <c r="I14">
        <v>2350</v>
      </c>
      <c r="J14">
        <v>30</v>
      </c>
      <c r="K14">
        <v>14805</v>
      </c>
      <c r="L14" t="s">
        <v>39</v>
      </c>
      <c r="M14" s="2">
        <f>Table1[[#This Row],[Revenue_INR]]-Table1[[#This Row],[Price_INR]]</f>
        <v>12455</v>
      </c>
      <c r="N14">
        <f>YEAR(Table1[[#This Row],[Date]])</f>
        <v>2024</v>
      </c>
      <c r="O14" s="2">
        <f t="shared" si="0"/>
        <v>1645</v>
      </c>
      <c r="P14" s="7">
        <f t="shared" si="3"/>
        <v>84.126984126984127</v>
      </c>
      <c r="Q14" s="2">
        <f t="shared" si="1"/>
        <v>6345</v>
      </c>
      <c r="R14" s="5" t="str">
        <f t="shared" si="2"/>
        <v>Below Average</v>
      </c>
      <c r="S14" s="5" t="str">
        <f>Table1[[#This Row],[Quarter]]&amp;" - "&amp;Table1[[#This Row],[City]]</f>
        <v>Q1 - Mumbai</v>
      </c>
    </row>
    <row r="15" spans="1:19" x14ac:dyDescent="0.3">
      <c r="A15" t="s">
        <v>56</v>
      </c>
      <c r="B15" s="1">
        <v>45300</v>
      </c>
      <c r="C15" t="s">
        <v>13</v>
      </c>
      <c r="D15" t="s">
        <v>14</v>
      </c>
      <c r="E15" t="s">
        <v>25</v>
      </c>
      <c r="F15" t="s">
        <v>16</v>
      </c>
      <c r="G15" t="s">
        <v>41</v>
      </c>
      <c r="H15">
        <v>8</v>
      </c>
      <c r="I15">
        <v>2040</v>
      </c>
      <c r="J15">
        <v>15</v>
      </c>
      <c r="K15">
        <v>13872</v>
      </c>
      <c r="L15" t="s">
        <v>42</v>
      </c>
      <c r="M15" s="2">
        <f>Table1[[#This Row],[Revenue_INR]]-Table1[[#This Row],[Price_INR]]</f>
        <v>11832</v>
      </c>
      <c r="N15">
        <f>YEAR(Table1[[#This Row],[Date]])</f>
        <v>2024</v>
      </c>
      <c r="O15" s="2">
        <f t="shared" si="0"/>
        <v>1734</v>
      </c>
      <c r="P15" s="7">
        <f t="shared" si="3"/>
        <v>85.294117647058826</v>
      </c>
      <c r="Q15" s="2">
        <f t="shared" si="1"/>
        <v>2448</v>
      </c>
      <c r="R15" s="5" t="str">
        <f t="shared" si="2"/>
        <v>Below Average</v>
      </c>
      <c r="S15" s="5" t="str">
        <f>Table1[[#This Row],[Quarter]]&amp;" - "&amp;Table1[[#This Row],[City]]</f>
        <v>Q1 - Hyderabad</v>
      </c>
    </row>
    <row r="16" spans="1:19" x14ac:dyDescent="0.3">
      <c r="A16" t="s">
        <v>57</v>
      </c>
      <c r="B16" s="1">
        <v>45300</v>
      </c>
      <c r="C16" t="s">
        <v>13</v>
      </c>
      <c r="D16" t="s">
        <v>14</v>
      </c>
      <c r="E16" t="s">
        <v>34</v>
      </c>
      <c r="F16" t="s">
        <v>26</v>
      </c>
      <c r="G16" t="s">
        <v>58</v>
      </c>
      <c r="H16">
        <v>5</v>
      </c>
      <c r="I16">
        <v>9650</v>
      </c>
      <c r="J16">
        <v>15</v>
      </c>
      <c r="K16">
        <v>41012.5</v>
      </c>
      <c r="L16" t="s">
        <v>49</v>
      </c>
      <c r="M16" s="2">
        <f>Table1[[#This Row],[Revenue_INR]]-Table1[[#This Row],[Price_INR]]</f>
        <v>31362.5</v>
      </c>
      <c r="N16">
        <f>YEAR(Table1[[#This Row],[Date]])</f>
        <v>2024</v>
      </c>
      <c r="O16" s="2">
        <f t="shared" si="0"/>
        <v>8202.5</v>
      </c>
      <c r="P16" s="7">
        <f t="shared" si="3"/>
        <v>76.470588235294116</v>
      </c>
      <c r="Q16" s="2">
        <f t="shared" si="1"/>
        <v>7237.5</v>
      </c>
      <c r="R16" s="5" t="str">
        <f t="shared" si="2"/>
        <v>Above Average</v>
      </c>
      <c r="S16" s="5" t="str">
        <f>Table1[[#This Row],[Quarter]]&amp;" - "&amp;Table1[[#This Row],[City]]</f>
        <v>Q1 - Delhi</v>
      </c>
    </row>
    <row r="17" spans="1:19" x14ac:dyDescent="0.3">
      <c r="A17" t="s">
        <v>59</v>
      </c>
      <c r="B17" s="1">
        <v>45301</v>
      </c>
      <c r="C17" t="s">
        <v>13</v>
      </c>
      <c r="D17" t="s">
        <v>14</v>
      </c>
      <c r="E17" t="s">
        <v>25</v>
      </c>
      <c r="F17" t="s">
        <v>60</v>
      </c>
      <c r="G17" t="s">
        <v>61</v>
      </c>
      <c r="H17">
        <v>8</v>
      </c>
      <c r="I17">
        <v>2000</v>
      </c>
      <c r="J17">
        <v>25</v>
      </c>
      <c r="K17">
        <v>12000</v>
      </c>
      <c r="L17" t="s">
        <v>28</v>
      </c>
      <c r="M17" s="2">
        <f>Table1[[#This Row],[Revenue_INR]]-Table1[[#This Row],[Price_INR]]</f>
        <v>10000</v>
      </c>
      <c r="N17">
        <f>YEAR(Table1[[#This Row],[Date]])</f>
        <v>2024</v>
      </c>
      <c r="O17" s="2">
        <f t="shared" si="0"/>
        <v>1500</v>
      </c>
      <c r="P17" s="7">
        <f t="shared" si="3"/>
        <v>83.333333333333343</v>
      </c>
      <c r="Q17" s="2">
        <f t="shared" si="1"/>
        <v>4000</v>
      </c>
      <c r="R17" s="5" t="str">
        <f t="shared" si="2"/>
        <v>Below Average</v>
      </c>
      <c r="S17" s="5" t="str">
        <f>Table1[[#This Row],[Quarter]]&amp;" - "&amp;Table1[[#This Row],[City]]</f>
        <v>Q1 - Hyderabad</v>
      </c>
    </row>
    <row r="18" spans="1:19" x14ac:dyDescent="0.3">
      <c r="A18" t="s">
        <v>62</v>
      </c>
      <c r="B18" s="1">
        <v>45301</v>
      </c>
      <c r="C18" t="s">
        <v>13</v>
      </c>
      <c r="D18" t="s">
        <v>14</v>
      </c>
      <c r="E18" t="s">
        <v>25</v>
      </c>
      <c r="F18" t="s">
        <v>16</v>
      </c>
      <c r="G18" t="s">
        <v>41</v>
      </c>
      <c r="H18">
        <v>1</v>
      </c>
      <c r="I18">
        <v>1510</v>
      </c>
      <c r="J18">
        <v>0</v>
      </c>
      <c r="K18">
        <v>1510</v>
      </c>
      <c r="L18" t="s">
        <v>28</v>
      </c>
      <c r="M18" s="2">
        <f>Table1[[#This Row],[Revenue_INR]]-Table1[[#This Row],[Price_INR]]</f>
        <v>0</v>
      </c>
      <c r="N18">
        <f>YEAR(Table1[[#This Row],[Date]])</f>
        <v>2024</v>
      </c>
      <c r="O18" s="2">
        <f t="shared" si="0"/>
        <v>1510</v>
      </c>
      <c r="P18" s="7">
        <f t="shared" si="3"/>
        <v>0</v>
      </c>
      <c r="Q18" s="2">
        <f t="shared" si="1"/>
        <v>0</v>
      </c>
      <c r="R18" s="5" t="str">
        <f t="shared" si="2"/>
        <v>Below Average</v>
      </c>
      <c r="S18" s="5" t="str">
        <f>Table1[[#This Row],[Quarter]]&amp;" - "&amp;Table1[[#This Row],[City]]</f>
        <v>Q1 - Hyderabad</v>
      </c>
    </row>
    <row r="19" spans="1:19" x14ac:dyDescent="0.3">
      <c r="A19" t="s">
        <v>63</v>
      </c>
      <c r="B19" s="1">
        <v>45301</v>
      </c>
      <c r="C19" t="s">
        <v>13</v>
      </c>
      <c r="D19" t="s">
        <v>14</v>
      </c>
      <c r="E19" t="s">
        <v>25</v>
      </c>
      <c r="F19" t="s">
        <v>16</v>
      </c>
      <c r="G19" t="s">
        <v>44</v>
      </c>
      <c r="H19">
        <v>13</v>
      </c>
      <c r="I19">
        <v>2000</v>
      </c>
      <c r="J19">
        <v>20</v>
      </c>
      <c r="K19">
        <v>20800</v>
      </c>
      <c r="L19" t="s">
        <v>28</v>
      </c>
      <c r="M19" s="2">
        <f>Table1[[#This Row],[Revenue_INR]]-Table1[[#This Row],[Price_INR]]</f>
        <v>18800</v>
      </c>
      <c r="N19">
        <f>YEAR(Table1[[#This Row],[Date]])</f>
        <v>2024</v>
      </c>
      <c r="O19" s="2">
        <f t="shared" si="0"/>
        <v>1600</v>
      </c>
      <c r="P19" s="7">
        <f t="shared" si="3"/>
        <v>90.384615384615387</v>
      </c>
      <c r="Q19" s="2">
        <f t="shared" si="1"/>
        <v>5200</v>
      </c>
      <c r="R19" s="5" t="str">
        <f t="shared" si="2"/>
        <v>Below Average</v>
      </c>
      <c r="S19" s="5" t="str">
        <f>Table1[[#This Row],[Quarter]]&amp;" - "&amp;Table1[[#This Row],[City]]</f>
        <v>Q1 - Hyderabad</v>
      </c>
    </row>
    <row r="20" spans="1:19" x14ac:dyDescent="0.3">
      <c r="A20" t="s">
        <v>64</v>
      </c>
      <c r="B20" s="1">
        <v>45302</v>
      </c>
      <c r="C20" t="s">
        <v>13</v>
      </c>
      <c r="D20" t="s">
        <v>14</v>
      </c>
      <c r="E20" t="s">
        <v>20</v>
      </c>
      <c r="F20" t="s">
        <v>16</v>
      </c>
      <c r="G20" t="s">
        <v>41</v>
      </c>
      <c r="H20">
        <v>15</v>
      </c>
      <c r="I20">
        <v>2790</v>
      </c>
      <c r="J20">
        <v>10</v>
      </c>
      <c r="K20">
        <v>37665</v>
      </c>
      <c r="L20" t="s">
        <v>23</v>
      </c>
      <c r="M20" s="2">
        <f>Table1[[#This Row],[Revenue_INR]]-Table1[[#This Row],[Price_INR]]</f>
        <v>34875</v>
      </c>
      <c r="N20">
        <f>YEAR(Table1[[#This Row],[Date]])</f>
        <v>2024</v>
      </c>
      <c r="O20" s="2">
        <f t="shared" si="0"/>
        <v>2511</v>
      </c>
      <c r="P20" s="7">
        <f t="shared" si="3"/>
        <v>92.592592592592595</v>
      </c>
      <c r="Q20" s="2">
        <f t="shared" si="1"/>
        <v>4185</v>
      </c>
      <c r="R20" s="5" t="str">
        <f t="shared" si="2"/>
        <v>Above Average</v>
      </c>
      <c r="S20" s="5" t="str">
        <f>Table1[[#This Row],[Quarter]]&amp;" - "&amp;Table1[[#This Row],[City]]</f>
        <v>Q1 - Mumbai</v>
      </c>
    </row>
    <row r="21" spans="1:19" x14ac:dyDescent="0.3">
      <c r="A21" t="s">
        <v>65</v>
      </c>
      <c r="B21" s="1">
        <v>45302</v>
      </c>
      <c r="C21" t="s">
        <v>13</v>
      </c>
      <c r="D21" t="s">
        <v>14</v>
      </c>
      <c r="E21" t="s">
        <v>25</v>
      </c>
      <c r="F21" t="s">
        <v>16</v>
      </c>
      <c r="G21" t="s">
        <v>44</v>
      </c>
      <c r="H21">
        <v>7</v>
      </c>
      <c r="I21">
        <v>1030</v>
      </c>
      <c r="J21">
        <v>20</v>
      </c>
      <c r="K21">
        <v>5768</v>
      </c>
      <c r="L21" t="s">
        <v>66</v>
      </c>
      <c r="M21" s="2">
        <f>Table1[[#This Row],[Revenue_INR]]-Table1[[#This Row],[Price_INR]]</f>
        <v>4738</v>
      </c>
      <c r="N21">
        <f>YEAR(Table1[[#This Row],[Date]])</f>
        <v>2024</v>
      </c>
      <c r="O21" s="2">
        <f t="shared" si="0"/>
        <v>824</v>
      </c>
      <c r="P21" s="7">
        <f t="shared" si="3"/>
        <v>82.142857142857139</v>
      </c>
      <c r="Q21" s="2">
        <f t="shared" si="1"/>
        <v>1442</v>
      </c>
      <c r="R21" s="5" t="str">
        <f t="shared" si="2"/>
        <v>Below Average</v>
      </c>
      <c r="S21" s="5" t="str">
        <f>Table1[[#This Row],[Quarter]]&amp;" - "&amp;Table1[[#This Row],[City]]</f>
        <v>Q1 - Hyderabad</v>
      </c>
    </row>
    <row r="22" spans="1:19" x14ac:dyDescent="0.3">
      <c r="A22" t="s">
        <v>67</v>
      </c>
      <c r="B22" s="1">
        <v>45304</v>
      </c>
      <c r="C22" t="s">
        <v>13</v>
      </c>
      <c r="D22" t="s">
        <v>14</v>
      </c>
      <c r="E22" t="s">
        <v>25</v>
      </c>
      <c r="F22" t="s">
        <v>16</v>
      </c>
      <c r="G22" t="s">
        <v>17</v>
      </c>
      <c r="H22">
        <v>1</v>
      </c>
      <c r="I22">
        <v>2940</v>
      </c>
      <c r="J22">
        <v>0</v>
      </c>
      <c r="K22">
        <v>2940</v>
      </c>
      <c r="L22" t="s">
        <v>28</v>
      </c>
      <c r="M22" s="2">
        <f>Table1[[#This Row],[Revenue_INR]]-Table1[[#This Row],[Price_INR]]</f>
        <v>0</v>
      </c>
      <c r="N22">
        <f>YEAR(Table1[[#This Row],[Date]])</f>
        <v>2024</v>
      </c>
      <c r="O22" s="2">
        <f t="shared" si="0"/>
        <v>2940</v>
      </c>
      <c r="P22" s="7">
        <f t="shared" si="3"/>
        <v>0</v>
      </c>
      <c r="Q22" s="2">
        <f t="shared" si="1"/>
        <v>0</v>
      </c>
      <c r="R22" s="5" t="str">
        <f t="shared" si="2"/>
        <v>Below Average</v>
      </c>
      <c r="S22" s="5" t="str">
        <f>Table1[[#This Row],[Quarter]]&amp;" - "&amp;Table1[[#This Row],[City]]</f>
        <v>Q1 - Hyderabad</v>
      </c>
    </row>
    <row r="23" spans="1:19" x14ac:dyDescent="0.3">
      <c r="A23" t="s">
        <v>68</v>
      </c>
      <c r="B23" s="1">
        <v>45306</v>
      </c>
      <c r="C23" t="s">
        <v>13</v>
      </c>
      <c r="D23" t="s">
        <v>14</v>
      </c>
      <c r="E23" t="s">
        <v>20</v>
      </c>
      <c r="F23" t="s">
        <v>16</v>
      </c>
      <c r="G23" t="s">
        <v>69</v>
      </c>
      <c r="H23">
        <v>3</v>
      </c>
      <c r="I23">
        <v>2800</v>
      </c>
      <c r="J23">
        <v>5</v>
      </c>
      <c r="K23">
        <v>7980</v>
      </c>
      <c r="L23" t="s">
        <v>23</v>
      </c>
      <c r="M23" s="2">
        <f>Table1[[#This Row],[Revenue_INR]]-Table1[[#This Row],[Price_INR]]</f>
        <v>5180</v>
      </c>
      <c r="N23">
        <f>YEAR(Table1[[#This Row],[Date]])</f>
        <v>2024</v>
      </c>
      <c r="O23" s="2">
        <f t="shared" si="0"/>
        <v>2660</v>
      </c>
      <c r="P23" s="7">
        <f t="shared" si="3"/>
        <v>64.912280701754383</v>
      </c>
      <c r="Q23" s="2">
        <f t="shared" si="1"/>
        <v>420</v>
      </c>
      <c r="R23" s="5" t="str">
        <f t="shared" si="2"/>
        <v>Below Average</v>
      </c>
      <c r="S23" s="5" t="str">
        <f>Table1[[#This Row],[Quarter]]&amp;" - "&amp;Table1[[#This Row],[City]]</f>
        <v>Q1 - Mumbai</v>
      </c>
    </row>
    <row r="24" spans="1:19" x14ac:dyDescent="0.3">
      <c r="A24" t="s">
        <v>70</v>
      </c>
      <c r="B24" s="1">
        <v>45306</v>
      </c>
      <c r="C24" t="s">
        <v>13</v>
      </c>
      <c r="D24" t="s">
        <v>14</v>
      </c>
      <c r="E24" t="s">
        <v>34</v>
      </c>
      <c r="F24" t="s">
        <v>21</v>
      </c>
      <c r="G24" t="s">
        <v>71</v>
      </c>
      <c r="H24">
        <v>6</v>
      </c>
      <c r="I24">
        <v>3480</v>
      </c>
      <c r="J24">
        <v>5</v>
      </c>
      <c r="K24">
        <v>19836</v>
      </c>
      <c r="L24" t="s">
        <v>49</v>
      </c>
      <c r="M24" s="2">
        <f>Table1[[#This Row],[Revenue_INR]]-Table1[[#This Row],[Price_INR]]</f>
        <v>16356</v>
      </c>
      <c r="N24">
        <f>YEAR(Table1[[#This Row],[Date]])</f>
        <v>2024</v>
      </c>
      <c r="O24" s="2">
        <f t="shared" si="0"/>
        <v>3306</v>
      </c>
      <c r="P24" s="7">
        <f t="shared" si="3"/>
        <v>82.456140350877192</v>
      </c>
      <c r="Q24" s="2">
        <f t="shared" si="1"/>
        <v>1044</v>
      </c>
      <c r="R24" s="5" t="str">
        <f t="shared" si="2"/>
        <v>Below Average</v>
      </c>
      <c r="S24" s="5" t="str">
        <f>Table1[[#This Row],[Quarter]]&amp;" - "&amp;Table1[[#This Row],[City]]</f>
        <v>Q1 - Delhi</v>
      </c>
    </row>
    <row r="25" spans="1:19" x14ac:dyDescent="0.3">
      <c r="A25" t="s">
        <v>72</v>
      </c>
      <c r="B25" s="1">
        <v>45306</v>
      </c>
      <c r="C25" t="s">
        <v>13</v>
      </c>
      <c r="D25" t="s">
        <v>14</v>
      </c>
      <c r="E25" t="s">
        <v>25</v>
      </c>
      <c r="F25" t="s">
        <v>16</v>
      </c>
      <c r="G25" t="s">
        <v>17</v>
      </c>
      <c r="H25">
        <v>10</v>
      </c>
      <c r="I25">
        <v>2570</v>
      </c>
      <c r="J25">
        <v>0</v>
      </c>
      <c r="K25">
        <v>25700</v>
      </c>
      <c r="L25" t="s">
        <v>42</v>
      </c>
      <c r="M25" s="2">
        <f>Table1[[#This Row],[Revenue_INR]]-Table1[[#This Row],[Price_INR]]</f>
        <v>23130</v>
      </c>
      <c r="N25">
        <f>YEAR(Table1[[#This Row],[Date]])</f>
        <v>2024</v>
      </c>
      <c r="O25" s="2">
        <f t="shared" si="0"/>
        <v>2570</v>
      </c>
      <c r="P25" s="7">
        <f t="shared" si="3"/>
        <v>90</v>
      </c>
      <c r="Q25" s="2">
        <f t="shared" si="1"/>
        <v>0</v>
      </c>
      <c r="R25" s="5" t="str">
        <f t="shared" si="2"/>
        <v>Above Average</v>
      </c>
      <c r="S25" s="5" t="str">
        <f>Table1[[#This Row],[Quarter]]&amp;" - "&amp;Table1[[#This Row],[City]]</f>
        <v>Q1 - Hyderabad</v>
      </c>
    </row>
    <row r="26" spans="1:19" x14ac:dyDescent="0.3">
      <c r="A26" t="s">
        <v>73</v>
      </c>
      <c r="B26" s="1">
        <v>45307</v>
      </c>
      <c r="C26" t="s">
        <v>13</v>
      </c>
      <c r="D26" t="s">
        <v>14</v>
      </c>
      <c r="E26" t="s">
        <v>25</v>
      </c>
      <c r="F26" t="s">
        <v>21</v>
      </c>
      <c r="G26" t="s">
        <v>71</v>
      </c>
      <c r="H26">
        <v>12</v>
      </c>
      <c r="I26">
        <v>990</v>
      </c>
      <c r="J26">
        <v>25</v>
      </c>
      <c r="K26">
        <v>8910</v>
      </c>
      <c r="L26" t="s">
        <v>42</v>
      </c>
      <c r="M26" s="2">
        <f>Table1[[#This Row],[Revenue_INR]]-Table1[[#This Row],[Price_INR]]</f>
        <v>7920</v>
      </c>
      <c r="N26">
        <f>YEAR(Table1[[#This Row],[Date]])</f>
        <v>2024</v>
      </c>
      <c r="O26" s="2">
        <f t="shared" si="0"/>
        <v>742.5</v>
      </c>
      <c r="P26" s="7">
        <f t="shared" si="3"/>
        <v>88.888888888888886</v>
      </c>
      <c r="Q26" s="2">
        <f t="shared" si="1"/>
        <v>2970</v>
      </c>
      <c r="R26" s="5" t="str">
        <f t="shared" si="2"/>
        <v>Below Average</v>
      </c>
      <c r="S26" s="5" t="str">
        <f>Table1[[#This Row],[Quarter]]&amp;" - "&amp;Table1[[#This Row],[City]]</f>
        <v>Q1 - Hyderabad</v>
      </c>
    </row>
    <row r="27" spans="1:19" x14ac:dyDescent="0.3">
      <c r="A27" t="s">
        <v>74</v>
      </c>
      <c r="B27" s="1">
        <v>45307</v>
      </c>
      <c r="C27" t="s">
        <v>13</v>
      </c>
      <c r="D27" t="s">
        <v>14</v>
      </c>
      <c r="E27" t="s">
        <v>34</v>
      </c>
      <c r="F27" t="s">
        <v>21</v>
      </c>
      <c r="G27" t="s">
        <v>75</v>
      </c>
      <c r="H27">
        <v>11</v>
      </c>
      <c r="I27">
        <v>2910</v>
      </c>
      <c r="J27">
        <v>0</v>
      </c>
      <c r="K27">
        <v>32010</v>
      </c>
      <c r="L27" t="s">
        <v>45</v>
      </c>
      <c r="M27" s="2">
        <f>Table1[[#This Row],[Revenue_INR]]-Table1[[#This Row],[Price_INR]]</f>
        <v>29100</v>
      </c>
      <c r="N27">
        <f>YEAR(Table1[[#This Row],[Date]])</f>
        <v>2024</v>
      </c>
      <c r="O27" s="2">
        <f t="shared" si="0"/>
        <v>2910</v>
      </c>
      <c r="P27" s="7">
        <f t="shared" si="3"/>
        <v>90.909090909090907</v>
      </c>
      <c r="Q27" s="2">
        <f t="shared" si="1"/>
        <v>0</v>
      </c>
      <c r="R27" s="5" t="str">
        <f t="shared" si="2"/>
        <v>Above Average</v>
      </c>
      <c r="S27" s="5" t="str">
        <f>Table1[[#This Row],[Quarter]]&amp;" - "&amp;Table1[[#This Row],[City]]</f>
        <v>Q1 - Delhi</v>
      </c>
    </row>
    <row r="28" spans="1:19" x14ac:dyDescent="0.3">
      <c r="A28" t="s">
        <v>76</v>
      </c>
      <c r="B28" s="1">
        <v>45307</v>
      </c>
      <c r="C28" t="s">
        <v>13</v>
      </c>
      <c r="D28" t="s">
        <v>14</v>
      </c>
      <c r="E28" t="s">
        <v>20</v>
      </c>
      <c r="F28" t="s">
        <v>16</v>
      </c>
      <c r="G28" t="s">
        <v>17</v>
      </c>
      <c r="H28">
        <v>15</v>
      </c>
      <c r="I28">
        <v>2670</v>
      </c>
      <c r="J28">
        <v>30</v>
      </c>
      <c r="K28">
        <v>28035</v>
      </c>
      <c r="L28" t="s">
        <v>77</v>
      </c>
      <c r="M28" s="2">
        <f>Table1[[#This Row],[Revenue_INR]]-Table1[[#This Row],[Price_INR]]</f>
        <v>25365</v>
      </c>
      <c r="N28">
        <f>YEAR(Table1[[#This Row],[Date]])</f>
        <v>2024</v>
      </c>
      <c r="O28" s="2">
        <f t="shared" si="0"/>
        <v>1869</v>
      </c>
      <c r="P28" s="7">
        <f t="shared" si="3"/>
        <v>90.476190476190482</v>
      </c>
      <c r="Q28" s="2">
        <f t="shared" si="1"/>
        <v>12015</v>
      </c>
      <c r="R28" s="5" t="str">
        <f t="shared" si="2"/>
        <v>Above Average</v>
      </c>
      <c r="S28" s="5" t="str">
        <f>Table1[[#This Row],[Quarter]]&amp;" - "&amp;Table1[[#This Row],[City]]</f>
        <v>Q1 - Mumbai</v>
      </c>
    </row>
    <row r="29" spans="1:19" x14ac:dyDescent="0.3">
      <c r="A29" t="s">
        <v>78</v>
      </c>
      <c r="B29" s="1">
        <v>45308</v>
      </c>
      <c r="C29" t="s">
        <v>13</v>
      </c>
      <c r="D29" t="s">
        <v>14</v>
      </c>
      <c r="E29" t="s">
        <v>20</v>
      </c>
      <c r="F29" t="s">
        <v>60</v>
      </c>
      <c r="G29" t="s">
        <v>61</v>
      </c>
      <c r="H29">
        <v>3</v>
      </c>
      <c r="I29">
        <v>680</v>
      </c>
      <c r="J29">
        <v>5</v>
      </c>
      <c r="K29">
        <v>1938</v>
      </c>
      <c r="L29" t="s">
        <v>39</v>
      </c>
      <c r="M29" s="2">
        <f>Table1[[#This Row],[Revenue_INR]]-Table1[[#This Row],[Price_INR]]</f>
        <v>1258</v>
      </c>
      <c r="N29">
        <f>YEAR(Table1[[#This Row],[Date]])</f>
        <v>2024</v>
      </c>
      <c r="O29" s="2">
        <f t="shared" si="0"/>
        <v>646</v>
      </c>
      <c r="P29" s="7">
        <f t="shared" si="3"/>
        <v>64.912280701754383</v>
      </c>
      <c r="Q29" s="2">
        <f t="shared" si="1"/>
        <v>102</v>
      </c>
      <c r="R29" s="5" t="str">
        <f t="shared" si="2"/>
        <v>Below Average</v>
      </c>
      <c r="S29" s="5" t="str">
        <f>Table1[[#This Row],[Quarter]]&amp;" - "&amp;Table1[[#This Row],[City]]</f>
        <v>Q1 - Mumbai</v>
      </c>
    </row>
    <row r="30" spans="1:19" x14ac:dyDescent="0.3">
      <c r="A30" t="s">
        <v>79</v>
      </c>
      <c r="B30" s="1">
        <v>45308</v>
      </c>
      <c r="C30" t="s">
        <v>13</v>
      </c>
      <c r="D30" t="s">
        <v>14</v>
      </c>
      <c r="E30" t="s">
        <v>20</v>
      </c>
      <c r="F30" t="s">
        <v>26</v>
      </c>
      <c r="G30" t="s">
        <v>80</v>
      </c>
      <c r="H30">
        <v>4</v>
      </c>
      <c r="I30">
        <v>10650</v>
      </c>
      <c r="J30">
        <v>10</v>
      </c>
      <c r="K30">
        <v>38340</v>
      </c>
      <c r="L30" t="s">
        <v>23</v>
      </c>
      <c r="M30" s="2">
        <f>Table1[[#This Row],[Revenue_INR]]-Table1[[#This Row],[Price_INR]]</f>
        <v>27690</v>
      </c>
      <c r="N30">
        <f>YEAR(Table1[[#This Row],[Date]])</f>
        <v>2024</v>
      </c>
      <c r="O30" s="2">
        <f t="shared" si="0"/>
        <v>9585</v>
      </c>
      <c r="P30" s="7">
        <f t="shared" si="3"/>
        <v>72.222222222222214</v>
      </c>
      <c r="Q30" s="2">
        <f t="shared" si="1"/>
        <v>4260</v>
      </c>
      <c r="R30" s="5" t="str">
        <f t="shared" si="2"/>
        <v>Above Average</v>
      </c>
      <c r="S30" s="5" t="str">
        <f>Table1[[#This Row],[Quarter]]&amp;" - "&amp;Table1[[#This Row],[City]]</f>
        <v>Q1 - Mumbai</v>
      </c>
    </row>
    <row r="31" spans="1:19" x14ac:dyDescent="0.3">
      <c r="A31" t="s">
        <v>81</v>
      </c>
      <c r="B31" s="1">
        <v>45309</v>
      </c>
      <c r="C31" t="s">
        <v>13</v>
      </c>
      <c r="D31" t="s">
        <v>14</v>
      </c>
      <c r="E31" t="s">
        <v>15</v>
      </c>
      <c r="F31" t="s">
        <v>26</v>
      </c>
      <c r="G31" t="s">
        <v>82</v>
      </c>
      <c r="H31">
        <v>2</v>
      </c>
      <c r="I31">
        <v>6980</v>
      </c>
      <c r="J31">
        <v>15</v>
      </c>
      <c r="K31">
        <v>11866</v>
      </c>
      <c r="L31" t="s">
        <v>18</v>
      </c>
      <c r="M31" s="2">
        <f>Table1[[#This Row],[Revenue_INR]]-Table1[[#This Row],[Price_INR]]</f>
        <v>4886</v>
      </c>
      <c r="N31">
        <f>YEAR(Table1[[#This Row],[Date]])</f>
        <v>2024</v>
      </c>
      <c r="O31" s="2">
        <f t="shared" si="0"/>
        <v>5933</v>
      </c>
      <c r="P31" s="7">
        <f t="shared" si="3"/>
        <v>41.17647058823529</v>
      </c>
      <c r="Q31" s="2">
        <f t="shared" si="1"/>
        <v>2094</v>
      </c>
      <c r="R31" s="5" t="str">
        <f t="shared" si="2"/>
        <v>Below Average</v>
      </c>
      <c r="S31" s="5" t="str">
        <f>Table1[[#This Row],[Quarter]]&amp;" - "&amp;Table1[[#This Row],[City]]</f>
        <v>Q1 - Kolkata</v>
      </c>
    </row>
    <row r="32" spans="1:19" x14ac:dyDescent="0.3">
      <c r="A32" t="s">
        <v>83</v>
      </c>
      <c r="B32" s="1">
        <v>45309</v>
      </c>
      <c r="C32" t="s">
        <v>13</v>
      </c>
      <c r="D32" t="s">
        <v>14</v>
      </c>
      <c r="E32" t="s">
        <v>34</v>
      </c>
      <c r="F32" t="s">
        <v>31</v>
      </c>
      <c r="G32" t="s">
        <v>35</v>
      </c>
      <c r="H32">
        <v>7</v>
      </c>
      <c r="I32">
        <v>3240</v>
      </c>
      <c r="J32">
        <v>0</v>
      </c>
      <c r="K32">
        <v>22680</v>
      </c>
      <c r="L32" t="s">
        <v>49</v>
      </c>
      <c r="M32" s="2">
        <f>Table1[[#This Row],[Revenue_INR]]-Table1[[#This Row],[Price_INR]]</f>
        <v>19440</v>
      </c>
      <c r="N32">
        <f>YEAR(Table1[[#This Row],[Date]])</f>
        <v>2024</v>
      </c>
      <c r="O32" s="2">
        <f t="shared" si="0"/>
        <v>3240</v>
      </c>
      <c r="P32" s="7">
        <f t="shared" si="3"/>
        <v>85.714285714285708</v>
      </c>
      <c r="Q32" s="2">
        <f t="shared" si="1"/>
        <v>0</v>
      </c>
      <c r="R32" s="5" t="str">
        <f t="shared" si="2"/>
        <v>Below Average</v>
      </c>
      <c r="S32" s="5" t="str">
        <f>Table1[[#This Row],[Quarter]]&amp;" - "&amp;Table1[[#This Row],[City]]</f>
        <v>Q1 - Delhi</v>
      </c>
    </row>
    <row r="33" spans="1:19" x14ac:dyDescent="0.3">
      <c r="A33" t="s">
        <v>84</v>
      </c>
      <c r="B33" s="1">
        <v>45309</v>
      </c>
      <c r="C33" t="s">
        <v>13</v>
      </c>
      <c r="D33" t="s">
        <v>14</v>
      </c>
      <c r="E33" t="s">
        <v>20</v>
      </c>
      <c r="F33" t="s">
        <v>60</v>
      </c>
      <c r="G33" t="s">
        <v>85</v>
      </c>
      <c r="H33">
        <v>8</v>
      </c>
      <c r="I33">
        <v>1330</v>
      </c>
      <c r="J33">
        <v>5</v>
      </c>
      <c r="K33">
        <v>10108</v>
      </c>
      <c r="L33" t="s">
        <v>39</v>
      </c>
      <c r="M33" s="2">
        <f>Table1[[#This Row],[Revenue_INR]]-Table1[[#This Row],[Price_INR]]</f>
        <v>8778</v>
      </c>
      <c r="N33">
        <f>YEAR(Table1[[#This Row],[Date]])</f>
        <v>2024</v>
      </c>
      <c r="O33" s="2">
        <f t="shared" si="0"/>
        <v>1263.5</v>
      </c>
      <c r="P33" s="7">
        <f t="shared" si="3"/>
        <v>86.842105263157904</v>
      </c>
      <c r="Q33" s="2">
        <f t="shared" si="1"/>
        <v>532</v>
      </c>
      <c r="R33" s="5" t="str">
        <f t="shared" si="2"/>
        <v>Below Average</v>
      </c>
      <c r="S33" s="5" t="str">
        <f>Table1[[#This Row],[Quarter]]&amp;" - "&amp;Table1[[#This Row],[City]]</f>
        <v>Q1 - Mumbai</v>
      </c>
    </row>
    <row r="34" spans="1:19" x14ac:dyDescent="0.3">
      <c r="A34" t="s">
        <v>86</v>
      </c>
      <c r="B34" s="1">
        <v>45310</v>
      </c>
      <c r="C34" t="s">
        <v>13</v>
      </c>
      <c r="D34" t="s">
        <v>14</v>
      </c>
      <c r="E34" t="s">
        <v>15</v>
      </c>
      <c r="F34" t="s">
        <v>31</v>
      </c>
      <c r="G34" t="s">
        <v>35</v>
      </c>
      <c r="H34">
        <v>3</v>
      </c>
      <c r="I34">
        <v>5600</v>
      </c>
      <c r="J34">
        <v>30</v>
      </c>
      <c r="K34">
        <v>11760</v>
      </c>
      <c r="L34" t="s">
        <v>18</v>
      </c>
      <c r="M34" s="2">
        <f>Table1[[#This Row],[Revenue_INR]]-Table1[[#This Row],[Price_INR]]</f>
        <v>6160</v>
      </c>
      <c r="N34">
        <f>YEAR(Table1[[#This Row],[Date]])</f>
        <v>2024</v>
      </c>
      <c r="O34" s="2">
        <f t="shared" si="0"/>
        <v>3920</v>
      </c>
      <c r="P34" s="7">
        <f t="shared" si="3"/>
        <v>52.380952380952387</v>
      </c>
      <c r="Q34" s="2">
        <f t="shared" si="1"/>
        <v>5040</v>
      </c>
      <c r="R34" s="5" t="str">
        <f t="shared" si="2"/>
        <v>Below Average</v>
      </c>
      <c r="S34" s="5" t="str">
        <f>Table1[[#This Row],[Quarter]]&amp;" - "&amp;Table1[[#This Row],[City]]</f>
        <v>Q1 - Kolkata</v>
      </c>
    </row>
    <row r="35" spans="1:19" x14ac:dyDescent="0.3">
      <c r="A35" t="s">
        <v>87</v>
      </c>
      <c r="B35" s="1">
        <v>45310</v>
      </c>
      <c r="C35" t="s">
        <v>13</v>
      </c>
      <c r="D35" t="s">
        <v>14</v>
      </c>
      <c r="E35" t="s">
        <v>25</v>
      </c>
      <c r="F35" t="s">
        <v>60</v>
      </c>
      <c r="G35" t="s">
        <v>85</v>
      </c>
      <c r="H35">
        <v>11</v>
      </c>
      <c r="I35">
        <v>880</v>
      </c>
      <c r="J35">
        <v>10</v>
      </c>
      <c r="K35">
        <v>8712</v>
      </c>
      <c r="L35" t="s">
        <v>42</v>
      </c>
      <c r="M35" s="2">
        <f>Table1[[#This Row],[Revenue_INR]]-Table1[[#This Row],[Price_INR]]</f>
        <v>7832</v>
      </c>
      <c r="N35">
        <f>YEAR(Table1[[#This Row],[Date]])</f>
        <v>2024</v>
      </c>
      <c r="O35" s="2">
        <f t="shared" si="0"/>
        <v>792</v>
      </c>
      <c r="P35" s="7">
        <f t="shared" si="3"/>
        <v>89.898989898989896</v>
      </c>
      <c r="Q35" s="2">
        <f t="shared" si="1"/>
        <v>968</v>
      </c>
      <c r="R35" s="5" t="str">
        <f t="shared" si="2"/>
        <v>Below Average</v>
      </c>
      <c r="S35" s="5" t="str">
        <f>Table1[[#This Row],[Quarter]]&amp;" - "&amp;Table1[[#This Row],[City]]</f>
        <v>Q1 - Hyderabad</v>
      </c>
    </row>
    <row r="36" spans="1:19" x14ac:dyDescent="0.3">
      <c r="A36" t="s">
        <v>88</v>
      </c>
      <c r="B36" s="1">
        <v>45311</v>
      </c>
      <c r="C36" t="s">
        <v>13</v>
      </c>
      <c r="D36" t="s">
        <v>14</v>
      </c>
      <c r="E36" t="s">
        <v>20</v>
      </c>
      <c r="F36" t="s">
        <v>16</v>
      </c>
      <c r="G36" t="s">
        <v>44</v>
      </c>
      <c r="H36">
        <v>12</v>
      </c>
      <c r="I36">
        <v>360</v>
      </c>
      <c r="J36">
        <v>10</v>
      </c>
      <c r="K36">
        <v>3888</v>
      </c>
      <c r="L36" t="s">
        <v>39</v>
      </c>
      <c r="M36" s="2">
        <f>Table1[[#This Row],[Revenue_INR]]-Table1[[#This Row],[Price_INR]]</f>
        <v>3528</v>
      </c>
      <c r="N36">
        <f>YEAR(Table1[[#This Row],[Date]])</f>
        <v>2024</v>
      </c>
      <c r="O36" s="2">
        <f t="shared" si="0"/>
        <v>324</v>
      </c>
      <c r="P36" s="7">
        <f t="shared" si="3"/>
        <v>90.740740740740748</v>
      </c>
      <c r="Q36" s="2">
        <f t="shared" si="1"/>
        <v>432</v>
      </c>
      <c r="R36" s="5" t="str">
        <f t="shared" si="2"/>
        <v>Below Average</v>
      </c>
      <c r="S36" s="5" t="str">
        <f>Table1[[#This Row],[Quarter]]&amp;" - "&amp;Table1[[#This Row],[City]]</f>
        <v>Q1 - Mumbai</v>
      </c>
    </row>
    <row r="37" spans="1:19" x14ac:dyDescent="0.3">
      <c r="A37" t="s">
        <v>89</v>
      </c>
      <c r="B37" s="1">
        <v>45311</v>
      </c>
      <c r="C37" t="s">
        <v>13</v>
      </c>
      <c r="D37" t="s">
        <v>14</v>
      </c>
      <c r="E37" t="s">
        <v>25</v>
      </c>
      <c r="F37" t="s">
        <v>31</v>
      </c>
      <c r="G37" t="s">
        <v>32</v>
      </c>
      <c r="H37">
        <v>2</v>
      </c>
      <c r="I37">
        <v>4940</v>
      </c>
      <c r="J37">
        <v>15</v>
      </c>
      <c r="K37">
        <v>8398</v>
      </c>
      <c r="L37" t="s">
        <v>28</v>
      </c>
      <c r="M37" s="2">
        <f>Table1[[#This Row],[Revenue_INR]]-Table1[[#This Row],[Price_INR]]</f>
        <v>3458</v>
      </c>
      <c r="N37">
        <f>YEAR(Table1[[#This Row],[Date]])</f>
        <v>2024</v>
      </c>
      <c r="O37" s="2">
        <f t="shared" si="0"/>
        <v>4199</v>
      </c>
      <c r="P37" s="7">
        <f t="shared" si="3"/>
        <v>41.17647058823529</v>
      </c>
      <c r="Q37" s="2">
        <f t="shared" si="1"/>
        <v>1482</v>
      </c>
      <c r="R37" s="5" t="str">
        <f t="shared" si="2"/>
        <v>Below Average</v>
      </c>
      <c r="S37" s="5" t="str">
        <f>Table1[[#This Row],[Quarter]]&amp;" - "&amp;Table1[[#This Row],[City]]</f>
        <v>Q1 - Hyderabad</v>
      </c>
    </row>
    <row r="38" spans="1:19" x14ac:dyDescent="0.3">
      <c r="A38" t="s">
        <v>90</v>
      </c>
      <c r="B38" s="1">
        <v>45311</v>
      </c>
      <c r="C38" t="s">
        <v>13</v>
      </c>
      <c r="D38" t="s">
        <v>14</v>
      </c>
      <c r="E38" t="s">
        <v>20</v>
      </c>
      <c r="F38" t="s">
        <v>26</v>
      </c>
      <c r="G38" t="s">
        <v>82</v>
      </c>
      <c r="H38">
        <v>12</v>
      </c>
      <c r="I38">
        <v>2920</v>
      </c>
      <c r="J38">
        <v>25</v>
      </c>
      <c r="K38">
        <v>26280</v>
      </c>
      <c r="L38" t="s">
        <v>23</v>
      </c>
      <c r="M38" s="2">
        <f>Table1[[#This Row],[Revenue_INR]]-Table1[[#This Row],[Price_INR]]</f>
        <v>23360</v>
      </c>
      <c r="N38">
        <f>YEAR(Table1[[#This Row],[Date]])</f>
        <v>2024</v>
      </c>
      <c r="O38" s="2">
        <f t="shared" si="0"/>
        <v>2190</v>
      </c>
      <c r="P38" s="7">
        <f t="shared" si="3"/>
        <v>88.888888888888886</v>
      </c>
      <c r="Q38" s="2">
        <f t="shared" si="1"/>
        <v>8760</v>
      </c>
      <c r="R38" s="5" t="str">
        <f t="shared" si="2"/>
        <v>Above Average</v>
      </c>
      <c r="S38" s="5" t="str">
        <f>Table1[[#This Row],[Quarter]]&amp;" - "&amp;Table1[[#This Row],[City]]</f>
        <v>Q1 - Mumbai</v>
      </c>
    </row>
    <row r="39" spans="1:19" x14ac:dyDescent="0.3">
      <c r="A39" t="s">
        <v>91</v>
      </c>
      <c r="B39" s="1">
        <v>45311</v>
      </c>
      <c r="C39" t="s">
        <v>13</v>
      </c>
      <c r="D39" t="s">
        <v>14</v>
      </c>
      <c r="E39" t="s">
        <v>15</v>
      </c>
      <c r="F39" t="s">
        <v>47</v>
      </c>
      <c r="G39" t="s">
        <v>51</v>
      </c>
      <c r="H39">
        <v>14</v>
      </c>
      <c r="I39">
        <v>8560</v>
      </c>
      <c r="J39">
        <v>10</v>
      </c>
      <c r="K39">
        <v>107856</v>
      </c>
      <c r="L39" t="s">
        <v>92</v>
      </c>
      <c r="M39" s="2">
        <f>Table1[[#This Row],[Revenue_INR]]-Table1[[#This Row],[Price_INR]]</f>
        <v>99296</v>
      </c>
      <c r="N39">
        <f>YEAR(Table1[[#This Row],[Date]])</f>
        <v>2024</v>
      </c>
      <c r="O39" s="2">
        <f t="shared" si="0"/>
        <v>7704</v>
      </c>
      <c r="P39" s="7">
        <f t="shared" si="3"/>
        <v>92.063492063492063</v>
      </c>
      <c r="Q39" s="2">
        <f t="shared" si="1"/>
        <v>11984</v>
      </c>
      <c r="R39" s="5" t="str">
        <f t="shared" si="2"/>
        <v>Above Average</v>
      </c>
      <c r="S39" s="5" t="str">
        <f>Table1[[#This Row],[Quarter]]&amp;" - "&amp;Table1[[#This Row],[City]]</f>
        <v>Q1 - Kolkata</v>
      </c>
    </row>
    <row r="40" spans="1:19" x14ac:dyDescent="0.3">
      <c r="A40" t="s">
        <v>93</v>
      </c>
      <c r="B40" s="1">
        <v>45311</v>
      </c>
      <c r="C40" t="s">
        <v>13</v>
      </c>
      <c r="D40" t="s">
        <v>14</v>
      </c>
      <c r="E40" t="s">
        <v>34</v>
      </c>
      <c r="F40" t="s">
        <v>21</v>
      </c>
      <c r="G40" t="s">
        <v>94</v>
      </c>
      <c r="H40">
        <v>6</v>
      </c>
      <c r="I40">
        <v>1270</v>
      </c>
      <c r="J40">
        <v>30</v>
      </c>
      <c r="K40">
        <v>5334</v>
      </c>
      <c r="L40" t="s">
        <v>45</v>
      </c>
      <c r="M40" s="2">
        <f>Table1[[#This Row],[Revenue_INR]]-Table1[[#This Row],[Price_INR]]</f>
        <v>4064</v>
      </c>
      <c r="N40">
        <f>YEAR(Table1[[#This Row],[Date]])</f>
        <v>2024</v>
      </c>
      <c r="O40" s="2">
        <f t="shared" si="0"/>
        <v>889</v>
      </c>
      <c r="P40" s="7">
        <f t="shared" si="3"/>
        <v>76.19047619047619</v>
      </c>
      <c r="Q40" s="2">
        <f t="shared" si="1"/>
        <v>2286</v>
      </c>
      <c r="R40" s="5" t="str">
        <f t="shared" si="2"/>
        <v>Below Average</v>
      </c>
      <c r="S40" s="5" t="str">
        <f>Table1[[#This Row],[Quarter]]&amp;" - "&amp;Table1[[#This Row],[City]]</f>
        <v>Q1 - Delhi</v>
      </c>
    </row>
    <row r="41" spans="1:19" x14ac:dyDescent="0.3">
      <c r="A41" t="s">
        <v>95</v>
      </c>
      <c r="B41" s="1">
        <v>45312</v>
      </c>
      <c r="C41" t="s">
        <v>13</v>
      </c>
      <c r="D41" t="s">
        <v>14</v>
      </c>
      <c r="E41" t="s">
        <v>25</v>
      </c>
      <c r="F41" t="s">
        <v>47</v>
      </c>
      <c r="G41" t="s">
        <v>51</v>
      </c>
      <c r="H41">
        <v>6</v>
      </c>
      <c r="I41">
        <v>2290</v>
      </c>
      <c r="J41">
        <v>30</v>
      </c>
      <c r="K41">
        <v>9618</v>
      </c>
      <c r="L41" t="s">
        <v>28</v>
      </c>
      <c r="M41" s="2">
        <f>Table1[[#This Row],[Revenue_INR]]-Table1[[#This Row],[Price_INR]]</f>
        <v>7328</v>
      </c>
      <c r="N41">
        <f>YEAR(Table1[[#This Row],[Date]])</f>
        <v>2024</v>
      </c>
      <c r="O41" s="2">
        <f t="shared" si="0"/>
        <v>1603</v>
      </c>
      <c r="P41" s="7">
        <f t="shared" si="3"/>
        <v>76.19047619047619</v>
      </c>
      <c r="Q41" s="2">
        <f t="shared" si="1"/>
        <v>4122</v>
      </c>
      <c r="R41" s="5" t="str">
        <f t="shared" si="2"/>
        <v>Below Average</v>
      </c>
      <c r="S41" s="5" t="str">
        <f>Table1[[#This Row],[Quarter]]&amp;" - "&amp;Table1[[#This Row],[City]]</f>
        <v>Q1 - Hyderabad</v>
      </c>
    </row>
    <row r="42" spans="1:19" x14ac:dyDescent="0.3">
      <c r="A42" t="s">
        <v>96</v>
      </c>
      <c r="B42" s="1">
        <v>45312</v>
      </c>
      <c r="C42" t="s">
        <v>13</v>
      </c>
      <c r="D42" t="s">
        <v>14</v>
      </c>
      <c r="E42" t="s">
        <v>34</v>
      </c>
      <c r="F42" t="s">
        <v>60</v>
      </c>
      <c r="G42" t="s">
        <v>61</v>
      </c>
      <c r="H42">
        <v>8</v>
      </c>
      <c r="I42">
        <v>1330</v>
      </c>
      <c r="J42">
        <v>20</v>
      </c>
      <c r="K42">
        <v>8512</v>
      </c>
      <c r="L42" t="s">
        <v>49</v>
      </c>
      <c r="M42" s="2">
        <f>Table1[[#This Row],[Revenue_INR]]-Table1[[#This Row],[Price_INR]]</f>
        <v>7182</v>
      </c>
      <c r="N42">
        <f>YEAR(Table1[[#This Row],[Date]])</f>
        <v>2024</v>
      </c>
      <c r="O42" s="2">
        <f t="shared" si="0"/>
        <v>1064</v>
      </c>
      <c r="P42" s="7">
        <f t="shared" si="3"/>
        <v>84.375</v>
      </c>
      <c r="Q42" s="2">
        <f t="shared" si="1"/>
        <v>2128</v>
      </c>
      <c r="R42" s="5" t="str">
        <f t="shared" si="2"/>
        <v>Below Average</v>
      </c>
      <c r="S42" s="5" t="str">
        <f>Table1[[#This Row],[Quarter]]&amp;" - "&amp;Table1[[#This Row],[City]]</f>
        <v>Q1 - Delhi</v>
      </c>
    </row>
    <row r="43" spans="1:19" x14ac:dyDescent="0.3">
      <c r="A43" t="s">
        <v>97</v>
      </c>
      <c r="B43" s="1">
        <v>45312</v>
      </c>
      <c r="C43" t="s">
        <v>13</v>
      </c>
      <c r="D43" t="s">
        <v>14</v>
      </c>
      <c r="E43" t="s">
        <v>20</v>
      </c>
      <c r="F43" t="s">
        <v>21</v>
      </c>
      <c r="G43" t="s">
        <v>22</v>
      </c>
      <c r="H43">
        <v>2</v>
      </c>
      <c r="I43">
        <v>2780</v>
      </c>
      <c r="J43">
        <v>15</v>
      </c>
      <c r="K43">
        <v>4726</v>
      </c>
      <c r="L43" t="s">
        <v>23</v>
      </c>
      <c r="M43" s="2">
        <f>Table1[[#This Row],[Revenue_INR]]-Table1[[#This Row],[Price_INR]]</f>
        <v>1946</v>
      </c>
      <c r="N43">
        <f>YEAR(Table1[[#This Row],[Date]])</f>
        <v>2024</v>
      </c>
      <c r="O43" s="2">
        <f t="shared" si="0"/>
        <v>2363</v>
      </c>
      <c r="P43" s="7">
        <f t="shared" si="3"/>
        <v>41.17647058823529</v>
      </c>
      <c r="Q43" s="2">
        <f t="shared" si="1"/>
        <v>834</v>
      </c>
      <c r="R43" s="5" t="str">
        <f t="shared" si="2"/>
        <v>Below Average</v>
      </c>
      <c r="S43" s="5" t="str">
        <f>Table1[[#This Row],[Quarter]]&amp;" - "&amp;Table1[[#This Row],[City]]</f>
        <v>Q1 - Mumbai</v>
      </c>
    </row>
    <row r="44" spans="1:19" x14ac:dyDescent="0.3">
      <c r="A44" t="s">
        <v>98</v>
      </c>
      <c r="B44" s="1">
        <v>45312</v>
      </c>
      <c r="C44" t="s">
        <v>13</v>
      </c>
      <c r="D44" t="s">
        <v>14</v>
      </c>
      <c r="E44" t="s">
        <v>25</v>
      </c>
      <c r="F44" t="s">
        <v>60</v>
      </c>
      <c r="G44" t="s">
        <v>99</v>
      </c>
      <c r="H44">
        <v>10</v>
      </c>
      <c r="I44">
        <v>1320</v>
      </c>
      <c r="J44">
        <v>20</v>
      </c>
      <c r="K44">
        <v>10560</v>
      </c>
      <c r="L44" t="s">
        <v>42</v>
      </c>
      <c r="M44" s="2">
        <f>Table1[[#This Row],[Revenue_INR]]-Table1[[#This Row],[Price_INR]]</f>
        <v>9240</v>
      </c>
      <c r="N44">
        <f>YEAR(Table1[[#This Row],[Date]])</f>
        <v>2024</v>
      </c>
      <c r="O44" s="2">
        <f t="shared" si="0"/>
        <v>1056</v>
      </c>
      <c r="P44" s="7">
        <f t="shared" si="3"/>
        <v>87.5</v>
      </c>
      <c r="Q44" s="2">
        <f t="shared" si="1"/>
        <v>2640</v>
      </c>
      <c r="R44" s="5" t="str">
        <f t="shared" si="2"/>
        <v>Below Average</v>
      </c>
      <c r="S44" s="5" t="str">
        <f>Table1[[#This Row],[Quarter]]&amp;" - "&amp;Table1[[#This Row],[City]]</f>
        <v>Q1 - Hyderabad</v>
      </c>
    </row>
    <row r="45" spans="1:19" x14ac:dyDescent="0.3">
      <c r="A45" t="s">
        <v>100</v>
      </c>
      <c r="B45" s="1">
        <v>45313</v>
      </c>
      <c r="C45" t="s">
        <v>13</v>
      </c>
      <c r="D45" t="s">
        <v>14</v>
      </c>
      <c r="E45" t="s">
        <v>25</v>
      </c>
      <c r="F45" t="s">
        <v>26</v>
      </c>
      <c r="G45" t="s">
        <v>27</v>
      </c>
      <c r="H45">
        <v>14</v>
      </c>
      <c r="I45">
        <v>2330</v>
      </c>
      <c r="J45">
        <v>25</v>
      </c>
      <c r="K45">
        <v>24465</v>
      </c>
      <c r="L45" t="s">
        <v>28</v>
      </c>
      <c r="M45" s="2">
        <f>Table1[[#This Row],[Revenue_INR]]-Table1[[#This Row],[Price_INR]]</f>
        <v>22135</v>
      </c>
      <c r="N45">
        <f>YEAR(Table1[[#This Row],[Date]])</f>
        <v>2024</v>
      </c>
      <c r="O45" s="2">
        <f t="shared" si="0"/>
        <v>1747.5</v>
      </c>
      <c r="P45" s="7">
        <f t="shared" si="3"/>
        <v>90.476190476190482</v>
      </c>
      <c r="Q45" s="2">
        <f t="shared" si="1"/>
        <v>8155</v>
      </c>
      <c r="R45" s="5" t="str">
        <f t="shared" si="2"/>
        <v>Above Average</v>
      </c>
      <c r="S45" s="5" t="str">
        <f>Table1[[#This Row],[Quarter]]&amp;" - "&amp;Table1[[#This Row],[City]]</f>
        <v>Q1 - Hyderabad</v>
      </c>
    </row>
    <row r="46" spans="1:19" x14ac:dyDescent="0.3">
      <c r="A46" t="s">
        <v>101</v>
      </c>
      <c r="B46" s="1">
        <v>45313</v>
      </c>
      <c r="C46" t="s">
        <v>13</v>
      </c>
      <c r="D46" t="s">
        <v>14</v>
      </c>
      <c r="E46" t="s">
        <v>34</v>
      </c>
      <c r="F46" t="s">
        <v>47</v>
      </c>
      <c r="G46" t="s">
        <v>102</v>
      </c>
      <c r="H46">
        <v>9</v>
      </c>
      <c r="I46">
        <v>6750</v>
      </c>
      <c r="J46">
        <v>25</v>
      </c>
      <c r="K46">
        <v>45562.5</v>
      </c>
      <c r="L46" t="s">
        <v>45</v>
      </c>
      <c r="M46" s="2">
        <f>Table1[[#This Row],[Revenue_INR]]-Table1[[#This Row],[Price_INR]]</f>
        <v>38812.5</v>
      </c>
      <c r="N46">
        <f>YEAR(Table1[[#This Row],[Date]])</f>
        <v>2024</v>
      </c>
      <c r="O46" s="2">
        <f t="shared" si="0"/>
        <v>5062.5</v>
      </c>
      <c r="P46" s="7">
        <f t="shared" si="3"/>
        <v>85.18518518518519</v>
      </c>
      <c r="Q46" s="2">
        <f t="shared" si="1"/>
        <v>15187.5</v>
      </c>
      <c r="R46" s="5" t="str">
        <f t="shared" si="2"/>
        <v>Above Average</v>
      </c>
      <c r="S46" s="5" t="str">
        <f>Table1[[#This Row],[Quarter]]&amp;" - "&amp;Table1[[#This Row],[City]]</f>
        <v>Q1 - Delhi</v>
      </c>
    </row>
    <row r="47" spans="1:19" x14ac:dyDescent="0.3">
      <c r="A47" t="s">
        <v>103</v>
      </c>
      <c r="B47" s="1">
        <v>45313</v>
      </c>
      <c r="C47" t="s">
        <v>13</v>
      </c>
      <c r="D47" t="s">
        <v>14</v>
      </c>
      <c r="E47" t="s">
        <v>20</v>
      </c>
      <c r="F47" t="s">
        <v>60</v>
      </c>
      <c r="G47" t="s">
        <v>61</v>
      </c>
      <c r="H47">
        <v>13</v>
      </c>
      <c r="I47">
        <v>2070</v>
      </c>
      <c r="J47">
        <v>15</v>
      </c>
      <c r="K47">
        <v>22873.5</v>
      </c>
      <c r="L47" t="s">
        <v>39</v>
      </c>
      <c r="M47" s="2">
        <f>Table1[[#This Row],[Revenue_INR]]-Table1[[#This Row],[Price_INR]]</f>
        <v>20803.5</v>
      </c>
      <c r="N47">
        <f>YEAR(Table1[[#This Row],[Date]])</f>
        <v>2024</v>
      </c>
      <c r="O47" s="2">
        <f t="shared" si="0"/>
        <v>1759.5</v>
      </c>
      <c r="P47" s="7">
        <f t="shared" si="3"/>
        <v>90.950226244343895</v>
      </c>
      <c r="Q47" s="2">
        <f t="shared" si="1"/>
        <v>4036.5</v>
      </c>
      <c r="R47" s="5" t="str">
        <f t="shared" si="2"/>
        <v>Below Average</v>
      </c>
      <c r="S47" s="5" t="str">
        <f>Table1[[#This Row],[Quarter]]&amp;" - "&amp;Table1[[#This Row],[City]]</f>
        <v>Q1 - Mumbai</v>
      </c>
    </row>
    <row r="48" spans="1:19" x14ac:dyDescent="0.3">
      <c r="A48" t="s">
        <v>104</v>
      </c>
      <c r="B48" s="1">
        <v>45313</v>
      </c>
      <c r="C48" t="s">
        <v>13</v>
      </c>
      <c r="D48" t="s">
        <v>14</v>
      </c>
      <c r="E48" t="s">
        <v>15</v>
      </c>
      <c r="F48" t="s">
        <v>60</v>
      </c>
      <c r="G48" t="s">
        <v>99</v>
      </c>
      <c r="H48">
        <v>13</v>
      </c>
      <c r="I48">
        <v>980</v>
      </c>
      <c r="J48">
        <v>5</v>
      </c>
      <c r="K48">
        <v>12103</v>
      </c>
      <c r="L48" t="s">
        <v>53</v>
      </c>
      <c r="M48" s="2">
        <f>Table1[[#This Row],[Revenue_INR]]-Table1[[#This Row],[Price_INR]]</f>
        <v>11123</v>
      </c>
      <c r="N48">
        <f>YEAR(Table1[[#This Row],[Date]])</f>
        <v>2024</v>
      </c>
      <c r="O48" s="2">
        <f t="shared" si="0"/>
        <v>931</v>
      </c>
      <c r="P48" s="7">
        <f t="shared" si="3"/>
        <v>91.902834008097173</v>
      </c>
      <c r="Q48" s="2">
        <f t="shared" si="1"/>
        <v>637</v>
      </c>
      <c r="R48" s="5" t="str">
        <f t="shared" si="2"/>
        <v>Below Average</v>
      </c>
      <c r="S48" s="5" t="str">
        <f>Table1[[#This Row],[Quarter]]&amp;" - "&amp;Table1[[#This Row],[City]]</f>
        <v>Q1 - Kolkata</v>
      </c>
    </row>
    <row r="49" spans="1:19" x14ac:dyDescent="0.3">
      <c r="A49" t="s">
        <v>105</v>
      </c>
      <c r="B49" s="1">
        <v>45314</v>
      </c>
      <c r="C49" t="s">
        <v>13</v>
      </c>
      <c r="D49" t="s">
        <v>14</v>
      </c>
      <c r="E49" t="s">
        <v>15</v>
      </c>
      <c r="F49" t="s">
        <v>60</v>
      </c>
      <c r="G49" t="s">
        <v>99</v>
      </c>
      <c r="H49">
        <v>10</v>
      </c>
      <c r="I49">
        <v>2210</v>
      </c>
      <c r="J49">
        <v>10</v>
      </c>
      <c r="K49">
        <v>19890</v>
      </c>
      <c r="L49" t="s">
        <v>18</v>
      </c>
      <c r="M49" s="2">
        <f>Table1[[#This Row],[Revenue_INR]]-Table1[[#This Row],[Price_INR]]</f>
        <v>17680</v>
      </c>
      <c r="N49">
        <f>YEAR(Table1[[#This Row],[Date]])</f>
        <v>2024</v>
      </c>
      <c r="O49" s="2">
        <f t="shared" si="0"/>
        <v>1989</v>
      </c>
      <c r="P49" s="7">
        <f t="shared" si="3"/>
        <v>88.888888888888886</v>
      </c>
      <c r="Q49" s="2">
        <f t="shared" si="1"/>
        <v>2210</v>
      </c>
      <c r="R49" s="5" t="str">
        <f t="shared" si="2"/>
        <v>Below Average</v>
      </c>
      <c r="S49" s="5" t="str">
        <f>Table1[[#This Row],[Quarter]]&amp;" - "&amp;Table1[[#This Row],[City]]</f>
        <v>Q1 - Kolkata</v>
      </c>
    </row>
    <row r="50" spans="1:19" x14ac:dyDescent="0.3">
      <c r="A50" t="s">
        <v>106</v>
      </c>
      <c r="B50" s="1">
        <v>45314</v>
      </c>
      <c r="C50" t="s">
        <v>13</v>
      </c>
      <c r="D50" t="s">
        <v>14</v>
      </c>
      <c r="E50" t="s">
        <v>20</v>
      </c>
      <c r="F50" t="s">
        <v>60</v>
      </c>
      <c r="G50" t="s">
        <v>61</v>
      </c>
      <c r="H50">
        <v>15</v>
      </c>
      <c r="I50">
        <v>1490</v>
      </c>
      <c r="J50">
        <v>10</v>
      </c>
      <c r="K50">
        <v>20115</v>
      </c>
      <c r="L50" t="s">
        <v>39</v>
      </c>
      <c r="M50" s="2">
        <f>Table1[[#This Row],[Revenue_INR]]-Table1[[#This Row],[Price_INR]]</f>
        <v>18625</v>
      </c>
      <c r="N50">
        <f>YEAR(Table1[[#This Row],[Date]])</f>
        <v>2024</v>
      </c>
      <c r="O50" s="2">
        <f t="shared" si="0"/>
        <v>1341</v>
      </c>
      <c r="P50" s="7">
        <f t="shared" si="3"/>
        <v>92.592592592592595</v>
      </c>
      <c r="Q50" s="2">
        <f t="shared" si="1"/>
        <v>2235</v>
      </c>
      <c r="R50" s="5" t="str">
        <f t="shared" si="2"/>
        <v>Below Average</v>
      </c>
      <c r="S50" s="5" t="str">
        <f>Table1[[#This Row],[Quarter]]&amp;" - "&amp;Table1[[#This Row],[City]]</f>
        <v>Q1 - Mumbai</v>
      </c>
    </row>
    <row r="51" spans="1:19" x14ac:dyDescent="0.3">
      <c r="A51" t="s">
        <v>107</v>
      </c>
      <c r="B51" s="1">
        <v>45315</v>
      </c>
      <c r="C51" t="s">
        <v>13</v>
      </c>
      <c r="D51" t="s">
        <v>14</v>
      </c>
      <c r="E51" t="s">
        <v>20</v>
      </c>
      <c r="F51" t="s">
        <v>16</v>
      </c>
      <c r="G51" t="s">
        <v>44</v>
      </c>
      <c r="H51">
        <v>7</v>
      </c>
      <c r="I51">
        <v>2460</v>
      </c>
      <c r="J51">
        <v>15</v>
      </c>
      <c r="K51">
        <v>14637</v>
      </c>
      <c r="L51" t="s">
        <v>23</v>
      </c>
      <c r="M51" s="2">
        <f>Table1[[#This Row],[Revenue_INR]]-Table1[[#This Row],[Price_INR]]</f>
        <v>12177</v>
      </c>
      <c r="N51">
        <f>YEAR(Table1[[#This Row],[Date]])</f>
        <v>2024</v>
      </c>
      <c r="O51" s="2">
        <f t="shared" si="0"/>
        <v>2091</v>
      </c>
      <c r="P51" s="7">
        <f t="shared" si="3"/>
        <v>83.193277310924373</v>
      </c>
      <c r="Q51" s="2">
        <f t="shared" si="1"/>
        <v>2583</v>
      </c>
      <c r="R51" s="5" t="str">
        <f t="shared" si="2"/>
        <v>Below Average</v>
      </c>
      <c r="S51" s="5" t="str">
        <f>Table1[[#This Row],[Quarter]]&amp;" - "&amp;Table1[[#This Row],[City]]</f>
        <v>Q1 - Mumbai</v>
      </c>
    </row>
    <row r="52" spans="1:19" x14ac:dyDescent="0.3">
      <c r="A52" t="s">
        <v>108</v>
      </c>
      <c r="B52" s="1">
        <v>45315</v>
      </c>
      <c r="C52" t="s">
        <v>13</v>
      </c>
      <c r="D52" t="s">
        <v>14</v>
      </c>
      <c r="E52" t="s">
        <v>34</v>
      </c>
      <c r="F52" t="s">
        <v>31</v>
      </c>
      <c r="G52" t="s">
        <v>38</v>
      </c>
      <c r="H52">
        <v>2</v>
      </c>
      <c r="I52">
        <v>3130</v>
      </c>
      <c r="J52">
        <v>0</v>
      </c>
      <c r="K52">
        <v>6260</v>
      </c>
      <c r="L52" t="s">
        <v>45</v>
      </c>
      <c r="M52" s="2">
        <f>Table1[[#This Row],[Revenue_INR]]-Table1[[#This Row],[Price_INR]]</f>
        <v>3130</v>
      </c>
      <c r="N52">
        <f>YEAR(Table1[[#This Row],[Date]])</f>
        <v>2024</v>
      </c>
      <c r="O52" s="2">
        <f t="shared" si="0"/>
        <v>3130</v>
      </c>
      <c r="P52" s="7">
        <f t="shared" si="3"/>
        <v>50</v>
      </c>
      <c r="Q52" s="2">
        <f t="shared" si="1"/>
        <v>0</v>
      </c>
      <c r="R52" s="5" t="str">
        <f t="shared" si="2"/>
        <v>Below Average</v>
      </c>
      <c r="S52" s="5" t="str">
        <f>Table1[[#This Row],[Quarter]]&amp;" - "&amp;Table1[[#This Row],[City]]</f>
        <v>Q1 - Delhi</v>
      </c>
    </row>
    <row r="53" spans="1:19" x14ac:dyDescent="0.3">
      <c r="A53" t="s">
        <v>109</v>
      </c>
      <c r="B53" s="1">
        <v>45316</v>
      </c>
      <c r="C53" t="s">
        <v>13</v>
      </c>
      <c r="D53" t="s">
        <v>14</v>
      </c>
      <c r="E53" t="s">
        <v>25</v>
      </c>
      <c r="F53" t="s">
        <v>26</v>
      </c>
      <c r="G53" t="s">
        <v>58</v>
      </c>
      <c r="H53">
        <v>15</v>
      </c>
      <c r="I53">
        <v>10560</v>
      </c>
      <c r="J53">
        <v>25</v>
      </c>
      <c r="K53">
        <v>118800</v>
      </c>
      <c r="L53" t="s">
        <v>42</v>
      </c>
      <c r="M53" s="2">
        <f>Table1[[#This Row],[Revenue_INR]]-Table1[[#This Row],[Price_INR]]</f>
        <v>108240</v>
      </c>
      <c r="N53">
        <f>YEAR(Table1[[#This Row],[Date]])</f>
        <v>2024</v>
      </c>
      <c r="O53" s="2">
        <f t="shared" si="0"/>
        <v>7920</v>
      </c>
      <c r="P53" s="7">
        <f t="shared" si="3"/>
        <v>91.111111111111114</v>
      </c>
      <c r="Q53" s="2">
        <f t="shared" si="1"/>
        <v>39600</v>
      </c>
      <c r="R53" s="5" t="str">
        <f t="shared" si="2"/>
        <v>Above Average</v>
      </c>
      <c r="S53" s="5" t="str">
        <f>Table1[[#This Row],[Quarter]]&amp;" - "&amp;Table1[[#This Row],[City]]</f>
        <v>Q1 - Hyderabad</v>
      </c>
    </row>
    <row r="54" spans="1:19" x14ac:dyDescent="0.3">
      <c r="A54" t="s">
        <v>110</v>
      </c>
      <c r="B54" s="1">
        <v>45316</v>
      </c>
      <c r="C54" t="s">
        <v>13</v>
      </c>
      <c r="D54" t="s">
        <v>14</v>
      </c>
      <c r="E54" t="s">
        <v>34</v>
      </c>
      <c r="F54" t="s">
        <v>21</v>
      </c>
      <c r="G54" t="s">
        <v>71</v>
      </c>
      <c r="H54">
        <v>5</v>
      </c>
      <c r="I54">
        <v>1800</v>
      </c>
      <c r="J54">
        <v>30</v>
      </c>
      <c r="K54">
        <v>6300</v>
      </c>
      <c r="L54" t="s">
        <v>45</v>
      </c>
      <c r="M54" s="2">
        <f>Table1[[#This Row],[Revenue_INR]]-Table1[[#This Row],[Price_INR]]</f>
        <v>4500</v>
      </c>
      <c r="N54">
        <f>YEAR(Table1[[#This Row],[Date]])</f>
        <v>2024</v>
      </c>
      <c r="O54" s="2">
        <f t="shared" si="0"/>
        <v>1260</v>
      </c>
      <c r="P54" s="7">
        <f t="shared" si="3"/>
        <v>71.428571428571431</v>
      </c>
      <c r="Q54" s="2">
        <f t="shared" si="1"/>
        <v>2700</v>
      </c>
      <c r="R54" s="5" t="str">
        <f t="shared" si="2"/>
        <v>Below Average</v>
      </c>
      <c r="S54" s="5" t="str">
        <f>Table1[[#This Row],[Quarter]]&amp;" - "&amp;Table1[[#This Row],[City]]</f>
        <v>Q1 - Delhi</v>
      </c>
    </row>
    <row r="55" spans="1:19" x14ac:dyDescent="0.3">
      <c r="A55" t="s">
        <v>111</v>
      </c>
      <c r="B55" s="1">
        <v>45316</v>
      </c>
      <c r="C55" t="s">
        <v>13</v>
      </c>
      <c r="D55" t="s">
        <v>14</v>
      </c>
      <c r="E55" t="s">
        <v>20</v>
      </c>
      <c r="F55" t="s">
        <v>60</v>
      </c>
      <c r="G55" t="s">
        <v>61</v>
      </c>
      <c r="H55">
        <v>11</v>
      </c>
      <c r="I55">
        <v>1450</v>
      </c>
      <c r="J55">
        <v>25</v>
      </c>
      <c r="K55">
        <v>11962.5</v>
      </c>
      <c r="L55" t="s">
        <v>39</v>
      </c>
      <c r="M55" s="2">
        <f>Table1[[#This Row],[Revenue_INR]]-Table1[[#This Row],[Price_INR]]</f>
        <v>10512.5</v>
      </c>
      <c r="N55">
        <f>YEAR(Table1[[#This Row],[Date]])</f>
        <v>2024</v>
      </c>
      <c r="O55" s="2">
        <f t="shared" si="0"/>
        <v>1087.5</v>
      </c>
      <c r="P55" s="7">
        <f t="shared" si="3"/>
        <v>87.878787878787875</v>
      </c>
      <c r="Q55" s="2">
        <f t="shared" si="1"/>
        <v>3987.5</v>
      </c>
      <c r="R55" s="5" t="str">
        <f t="shared" si="2"/>
        <v>Below Average</v>
      </c>
      <c r="S55" s="5" t="str">
        <f>Table1[[#This Row],[Quarter]]&amp;" - "&amp;Table1[[#This Row],[City]]</f>
        <v>Q1 - Mumbai</v>
      </c>
    </row>
    <row r="56" spans="1:19" x14ac:dyDescent="0.3">
      <c r="A56" t="s">
        <v>112</v>
      </c>
      <c r="B56" s="1">
        <v>45316</v>
      </c>
      <c r="C56" t="s">
        <v>13</v>
      </c>
      <c r="D56" t="s">
        <v>14</v>
      </c>
      <c r="E56" t="s">
        <v>34</v>
      </c>
      <c r="F56" t="s">
        <v>47</v>
      </c>
      <c r="G56" t="s">
        <v>48</v>
      </c>
      <c r="H56">
        <v>14</v>
      </c>
      <c r="I56">
        <v>3760</v>
      </c>
      <c r="J56">
        <v>20</v>
      </c>
      <c r="K56">
        <v>42112</v>
      </c>
      <c r="L56" t="s">
        <v>49</v>
      </c>
      <c r="M56" s="2">
        <f>Table1[[#This Row],[Revenue_INR]]-Table1[[#This Row],[Price_INR]]</f>
        <v>38352</v>
      </c>
      <c r="N56">
        <f>YEAR(Table1[[#This Row],[Date]])</f>
        <v>2024</v>
      </c>
      <c r="O56" s="2">
        <f t="shared" si="0"/>
        <v>3008</v>
      </c>
      <c r="P56" s="7">
        <f t="shared" si="3"/>
        <v>91.071428571428569</v>
      </c>
      <c r="Q56" s="2">
        <f t="shared" si="1"/>
        <v>10528</v>
      </c>
      <c r="R56" s="5" t="str">
        <f t="shared" si="2"/>
        <v>Above Average</v>
      </c>
      <c r="S56" s="5" t="str">
        <f>Table1[[#This Row],[Quarter]]&amp;" - "&amp;Table1[[#This Row],[City]]</f>
        <v>Q1 - Delhi</v>
      </c>
    </row>
    <row r="57" spans="1:19" x14ac:dyDescent="0.3">
      <c r="A57" t="s">
        <v>113</v>
      </c>
      <c r="B57" s="1">
        <v>45318</v>
      </c>
      <c r="C57" t="s">
        <v>13</v>
      </c>
      <c r="D57" t="s">
        <v>14</v>
      </c>
      <c r="E57" t="s">
        <v>34</v>
      </c>
      <c r="F57" t="s">
        <v>26</v>
      </c>
      <c r="G57" t="s">
        <v>58</v>
      </c>
      <c r="H57">
        <v>15</v>
      </c>
      <c r="I57">
        <v>4390</v>
      </c>
      <c r="J57">
        <v>30</v>
      </c>
      <c r="K57">
        <v>46095</v>
      </c>
      <c r="L57" t="s">
        <v>45</v>
      </c>
      <c r="M57" s="2">
        <f>Table1[[#This Row],[Revenue_INR]]-Table1[[#This Row],[Price_INR]]</f>
        <v>41705</v>
      </c>
      <c r="N57">
        <f>YEAR(Table1[[#This Row],[Date]])</f>
        <v>2024</v>
      </c>
      <c r="O57" s="2">
        <f t="shared" si="0"/>
        <v>3073</v>
      </c>
      <c r="P57" s="7">
        <f t="shared" si="3"/>
        <v>90.476190476190482</v>
      </c>
      <c r="Q57" s="2">
        <f t="shared" si="1"/>
        <v>19755</v>
      </c>
      <c r="R57" s="5" t="str">
        <f t="shared" si="2"/>
        <v>Above Average</v>
      </c>
      <c r="S57" s="5" t="str">
        <f>Table1[[#This Row],[Quarter]]&amp;" - "&amp;Table1[[#This Row],[City]]</f>
        <v>Q1 - Delhi</v>
      </c>
    </row>
    <row r="58" spans="1:19" x14ac:dyDescent="0.3">
      <c r="A58" t="s">
        <v>114</v>
      </c>
      <c r="B58" s="1">
        <v>45318</v>
      </c>
      <c r="C58" t="s">
        <v>13</v>
      </c>
      <c r="D58" t="s">
        <v>14</v>
      </c>
      <c r="E58" t="s">
        <v>20</v>
      </c>
      <c r="F58" t="s">
        <v>31</v>
      </c>
      <c r="G58" t="s">
        <v>35</v>
      </c>
      <c r="H58">
        <v>4</v>
      </c>
      <c r="I58">
        <v>4190</v>
      </c>
      <c r="J58">
        <v>10</v>
      </c>
      <c r="K58">
        <v>15084</v>
      </c>
      <c r="L58" t="s">
        <v>77</v>
      </c>
      <c r="M58" s="2">
        <f>Table1[[#This Row],[Revenue_INR]]-Table1[[#This Row],[Price_INR]]</f>
        <v>10894</v>
      </c>
      <c r="N58">
        <f>YEAR(Table1[[#This Row],[Date]])</f>
        <v>2024</v>
      </c>
      <c r="O58" s="2">
        <f t="shared" si="0"/>
        <v>3771</v>
      </c>
      <c r="P58" s="7">
        <f t="shared" si="3"/>
        <v>72.222222222222214</v>
      </c>
      <c r="Q58" s="2">
        <f t="shared" si="1"/>
        <v>1676</v>
      </c>
      <c r="R58" s="5" t="str">
        <f t="shared" si="2"/>
        <v>Below Average</v>
      </c>
      <c r="S58" s="5" t="str">
        <f>Table1[[#This Row],[Quarter]]&amp;" - "&amp;Table1[[#This Row],[City]]</f>
        <v>Q1 - Mumbai</v>
      </c>
    </row>
    <row r="59" spans="1:19" x14ac:dyDescent="0.3">
      <c r="A59" t="s">
        <v>115</v>
      </c>
      <c r="B59" s="1">
        <v>45319</v>
      </c>
      <c r="C59" t="s">
        <v>13</v>
      </c>
      <c r="D59" t="s">
        <v>14</v>
      </c>
      <c r="E59" t="s">
        <v>15</v>
      </c>
      <c r="F59" t="s">
        <v>16</v>
      </c>
      <c r="G59" t="s">
        <v>44</v>
      </c>
      <c r="H59">
        <v>7</v>
      </c>
      <c r="I59">
        <v>1940</v>
      </c>
      <c r="J59">
        <v>5</v>
      </c>
      <c r="K59">
        <v>12901</v>
      </c>
      <c r="L59" t="s">
        <v>92</v>
      </c>
      <c r="M59" s="2">
        <f>Table1[[#This Row],[Revenue_INR]]-Table1[[#This Row],[Price_INR]]</f>
        <v>10961</v>
      </c>
      <c r="N59">
        <f>YEAR(Table1[[#This Row],[Date]])</f>
        <v>2024</v>
      </c>
      <c r="O59" s="2">
        <f t="shared" si="0"/>
        <v>1843</v>
      </c>
      <c r="P59" s="7">
        <f t="shared" si="3"/>
        <v>84.962406015037601</v>
      </c>
      <c r="Q59" s="2">
        <f t="shared" si="1"/>
        <v>679</v>
      </c>
      <c r="R59" s="5" t="str">
        <f t="shared" si="2"/>
        <v>Below Average</v>
      </c>
      <c r="S59" s="5" t="str">
        <f>Table1[[#This Row],[Quarter]]&amp;" - "&amp;Table1[[#This Row],[City]]</f>
        <v>Q1 - Kolkata</v>
      </c>
    </row>
    <row r="60" spans="1:19" x14ac:dyDescent="0.3">
      <c r="A60" t="s">
        <v>116</v>
      </c>
      <c r="B60" s="1">
        <v>45319</v>
      </c>
      <c r="C60" t="s">
        <v>13</v>
      </c>
      <c r="D60" t="s">
        <v>14</v>
      </c>
      <c r="E60" t="s">
        <v>15</v>
      </c>
      <c r="F60" t="s">
        <v>21</v>
      </c>
      <c r="G60" t="s">
        <v>94</v>
      </c>
      <c r="H60">
        <v>15</v>
      </c>
      <c r="I60">
        <v>970</v>
      </c>
      <c r="J60">
        <v>20</v>
      </c>
      <c r="K60">
        <v>11640</v>
      </c>
      <c r="L60" t="s">
        <v>92</v>
      </c>
      <c r="M60" s="2">
        <f>Table1[[#This Row],[Revenue_INR]]-Table1[[#This Row],[Price_INR]]</f>
        <v>10670</v>
      </c>
      <c r="N60">
        <f>YEAR(Table1[[#This Row],[Date]])</f>
        <v>2024</v>
      </c>
      <c r="O60" s="2">
        <f t="shared" si="0"/>
        <v>776</v>
      </c>
      <c r="P60" s="7">
        <f t="shared" si="3"/>
        <v>91.666666666666657</v>
      </c>
      <c r="Q60" s="2">
        <f t="shared" si="1"/>
        <v>2910</v>
      </c>
      <c r="R60" s="5" t="str">
        <f t="shared" si="2"/>
        <v>Below Average</v>
      </c>
      <c r="S60" s="5" t="str">
        <f>Table1[[#This Row],[Quarter]]&amp;" - "&amp;Table1[[#This Row],[City]]</f>
        <v>Q1 - Kolkata</v>
      </c>
    </row>
    <row r="61" spans="1:19" x14ac:dyDescent="0.3">
      <c r="A61" t="s">
        <v>117</v>
      </c>
      <c r="B61" s="1">
        <v>45319</v>
      </c>
      <c r="C61" t="s">
        <v>13</v>
      </c>
      <c r="D61" t="s">
        <v>14</v>
      </c>
      <c r="E61" t="s">
        <v>15</v>
      </c>
      <c r="F61" t="s">
        <v>47</v>
      </c>
      <c r="G61" t="s">
        <v>51</v>
      </c>
      <c r="H61">
        <v>15</v>
      </c>
      <c r="I61">
        <v>3120</v>
      </c>
      <c r="J61">
        <v>0</v>
      </c>
      <c r="K61">
        <v>46800</v>
      </c>
      <c r="L61" t="s">
        <v>18</v>
      </c>
      <c r="M61" s="2">
        <f>Table1[[#This Row],[Revenue_INR]]-Table1[[#This Row],[Price_INR]]</f>
        <v>43680</v>
      </c>
      <c r="N61">
        <f>YEAR(Table1[[#This Row],[Date]])</f>
        <v>2024</v>
      </c>
      <c r="O61" s="2">
        <f t="shared" si="0"/>
        <v>3120</v>
      </c>
      <c r="P61" s="7">
        <f t="shared" si="3"/>
        <v>93.333333333333329</v>
      </c>
      <c r="Q61" s="2">
        <f t="shared" si="1"/>
        <v>0</v>
      </c>
      <c r="R61" s="5" t="str">
        <f t="shared" si="2"/>
        <v>Above Average</v>
      </c>
      <c r="S61" s="5" t="str">
        <f>Table1[[#This Row],[Quarter]]&amp;" - "&amp;Table1[[#This Row],[City]]</f>
        <v>Q1 - Kolkata</v>
      </c>
    </row>
    <row r="62" spans="1:19" x14ac:dyDescent="0.3">
      <c r="A62" t="s">
        <v>118</v>
      </c>
      <c r="B62" s="1">
        <v>45320</v>
      </c>
      <c r="C62" t="s">
        <v>13</v>
      </c>
      <c r="D62" t="s">
        <v>14</v>
      </c>
      <c r="E62" t="s">
        <v>20</v>
      </c>
      <c r="F62" t="s">
        <v>47</v>
      </c>
      <c r="G62" t="s">
        <v>102</v>
      </c>
      <c r="H62">
        <v>4</v>
      </c>
      <c r="I62">
        <v>3640</v>
      </c>
      <c r="J62">
        <v>30</v>
      </c>
      <c r="K62">
        <v>10192</v>
      </c>
      <c r="L62" t="s">
        <v>39</v>
      </c>
      <c r="M62" s="2">
        <f>Table1[[#This Row],[Revenue_INR]]-Table1[[#This Row],[Price_INR]]</f>
        <v>6552</v>
      </c>
      <c r="N62">
        <f>YEAR(Table1[[#This Row],[Date]])</f>
        <v>2024</v>
      </c>
      <c r="O62" s="2">
        <f t="shared" si="0"/>
        <v>2548</v>
      </c>
      <c r="P62" s="7">
        <f t="shared" si="3"/>
        <v>64.285714285714292</v>
      </c>
      <c r="Q62" s="2">
        <f t="shared" si="1"/>
        <v>4368</v>
      </c>
      <c r="R62" s="5" t="str">
        <f t="shared" si="2"/>
        <v>Below Average</v>
      </c>
      <c r="S62" s="5" t="str">
        <f>Table1[[#This Row],[Quarter]]&amp;" - "&amp;Table1[[#This Row],[City]]</f>
        <v>Q1 - Mumbai</v>
      </c>
    </row>
    <row r="63" spans="1:19" x14ac:dyDescent="0.3">
      <c r="A63" t="s">
        <v>119</v>
      </c>
      <c r="B63" s="1">
        <v>45320</v>
      </c>
      <c r="C63" t="s">
        <v>13</v>
      </c>
      <c r="D63" t="s">
        <v>14</v>
      </c>
      <c r="E63" t="s">
        <v>25</v>
      </c>
      <c r="F63" t="s">
        <v>16</v>
      </c>
      <c r="G63" t="s">
        <v>17</v>
      </c>
      <c r="H63">
        <v>1</v>
      </c>
      <c r="I63">
        <v>2740</v>
      </c>
      <c r="J63">
        <v>10</v>
      </c>
      <c r="K63">
        <v>2466</v>
      </c>
      <c r="L63" t="s">
        <v>28</v>
      </c>
      <c r="M63" s="2">
        <f>Table1[[#This Row],[Revenue_INR]]-Table1[[#This Row],[Price_INR]]</f>
        <v>-274</v>
      </c>
      <c r="N63">
        <f>YEAR(Table1[[#This Row],[Date]])</f>
        <v>2024</v>
      </c>
      <c r="O63" s="2">
        <f t="shared" si="0"/>
        <v>2466</v>
      </c>
      <c r="P63" s="7">
        <f t="shared" si="3"/>
        <v>-11.111111111111111</v>
      </c>
      <c r="Q63" s="2">
        <f t="shared" si="1"/>
        <v>274</v>
      </c>
      <c r="R63" s="5" t="str">
        <f t="shared" si="2"/>
        <v>Below Average</v>
      </c>
      <c r="S63" s="5" t="str">
        <f>Table1[[#This Row],[Quarter]]&amp;" - "&amp;Table1[[#This Row],[City]]</f>
        <v>Q1 - Hyderabad</v>
      </c>
    </row>
    <row r="64" spans="1:19" x14ac:dyDescent="0.3">
      <c r="A64" t="s">
        <v>120</v>
      </c>
      <c r="B64" s="1">
        <v>45320</v>
      </c>
      <c r="C64" t="s">
        <v>13</v>
      </c>
      <c r="D64" t="s">
        <v>14</v>
      </c>
      <c r="E64" t="s">
        <v>15</v>
      </c>
      <c r="F64" t="s">
        <v>26</v>
      </c>
      <c r="G64" t="s">
        <v>27</v>
      </c>
      <c r="H64">
        <v>1</v>
      </c>
      <c r="I64">
        <v>3520</v>
      </c>
      <c r="J64">
        <v>0</v>
      </c>
      <c r="K64">
        <v>3520</v>
      </c>
      <c r="L64" t="s">
        <v>92</v>
      </c>
      <c r="M64" s="2">
        <f>Table1[[#This Row],[Revenue_INR]]-Table1[[#This Row],[Price_INR]]</f>
        <v>0</v>
      </c>
      <c r="N64">
        <f>YEAR(Table1[[#This Row],[Date]])</f>
        <v>2024</v>
      </c>
      <c r="O64" s="2">
        <f t="shared" si="0"/>
        <v>3520</v>
      </c>
      <c r="P64" s="7">
        <f t="shared" si="3"/>
        <v>0</v>
      </c>
      <c r="Q64" s="2">
        <f t="shared" si="1"/>
        <v>0</v>
      </c>
      <c r="R64" s="5" t="str">
        <f t="shared" si="2"/>
        <v>Below Average</v>
      </c>
      <c r="S64" s="5" t="str">
        <f>Table1[[#This Row],[Quarter]]&amp;" - "&amp;Table1[[#This Row],[City]]</f>
        <v>Q1 - Kolkata</v>
      </c>
    </row>
    <row r="65" spans="1:19" x14ac:dyDescent="0.3">
      <c r="A65" t="s">
        <v>121</v>
      </c>
      <c r="B65" s="1">
        <v>45320</v>
      </c>
      <c r="C65" t="s">
        <v>13</v>
      </c>
      <c r="D65" t="s">
        <v>14</v>
      </c>
      <c r="E65" t="s">
        <v>15</v>
      </c>
      <c r="F65" t="s">
        <v>26</v>
      </c>
      <c r="G65" t="s">
        <v>27</v>
      </c>
      <c r="H65">
        <v>7</v>
      </c>
      <c r="I65">
        <v>2020</v>
      </c>
      <c r="J65">
        <v>20</v>
      </c>
      <c r="K65">
        <v>11312</v>
      </c>
      <c r="L65" t="s">
        <v>92</v>
      </c>
      <c r="M65" s="2">
        <f>Table1[[#This Row],[Revenue_INR]]-Table1[[#This Row],[Price_INR]]</f>
        <v>9292</v>
      </c>
      <c r="N65">
        <f>YEAR(Table1[[#This Row],[Date]])</f>
        <v>2024</v>
      </c>
      <c r="O65" s="2">
        <f t="shared" si="0"/>
        <v>1616</v>
      </c>
      <c r="P65" s="7">
        <f t="shared" si="3"/>
        <v>82.142857142857139</v>
      </c>
      <c r="Q65" s="2">
        <f t="shared" si="1"/>
        <v>2828</v>
      </c>
      <c r="R65" s="5" t="str">
        <f t="shared" si="2"/>
        <v>Below Average</v>
      </c>
      <c r="S65" s="5" t="str">
        <f>Table1[[#This Row],[Quarter]]&amp;" - "&amp;Table1[[#This Row],[City]]</f>
        <v>Q1 - Kolkata</v>
      </c>
    </row>
    <row r="66" spans="1:19" x14ac:dyDescent="0.3">
      <c r="A66" t="s">
        <v>122</v>
      </c>
      <c r="B66" s="1">
        <v>45320</v>
      </c>
      <c r="C66" t="s">
        <v>13</v>
      </c>
      <c r="D66" t="s">
        <v>14</v>
      </c>
      <c r="E66" t="s">
        <v>25</v>
      </c>
      <c r="F66" t="s">
        <v>16</v>
      </c>
      <c r="G66" t="s">
        <v>69</v>
      </c>
      <c r="H66">
        <v>6</v>
      </c>
      <c r="I66">
        <v>1970</v>
      </c>
      <c r="J66">
        <v>25</v>
      </c>
      <c r="K66">
        <v>8865</v>
      </c>
      <c r="L66" t="s">
        <v>66</v>
      </c>
      <c r="M66" s="2">
        <f>Table1[[#This Row],[Revenue_INR]]-Table1[[#This Row],[Price_INR]]</f>
        <v>6895</v>
      </c>
      <c r="N66">
        <f>YEAR(Table1[[#This Row],[Date]])</f>
        <v>2024</v>
      </c>
      <c r="O66" s="2">
        <f t="shared" ref="O66:O129" si="4">K66/H66</f>
        <v>1477.5</v>
      </c>
      <c r="P66" s="7">
        <f t="shared" ref="P66:P129" si="5">M66/K66*100</f>
        <v>77.777777777777786</v>
      </c>
      <c r="Q66" s="2">
        <f t="shared" ref="Q66:Q129" si="6">I66*H66*J66/100</f>
        <v>2955</v>
      </c>
      <c r="R66" s="5" t="str">
        <f t="shared" ref="R66:R129" si="7">IF(K66&gt;AVERAGE($K$2:$K$1001),"Above Average","Below Average")</f>
        <v>Below Average</v>
      </c>
      <c r="S66" s="5" t="str">
        <f>Table1[[#This Row],[Quarter]]&amp;" - "&amp;Table1[[#This Row],[City]]</f>
        <v>Q1 - Hyderabad</v>
      </c>
    </row>
    <row r="67" spans="1:19" x14ac:dyDescent="0.3">
      <c r="A67" t="s">
        <v>123</v>
      </c>
      <c r="B67" s="1">
        <v>45320</v>
      </c>
      <c r="C67" t="s">
        <v>13</v>
      </c>
      <c r="D67" t="s">
        <v>14</v>
      </c>
      <c r="E67" t="s">
        <v>20</v>
      </c>
      <c r="F67" t="s">
        <v>60</v>
      </c>
      <c r="G67" t="s">
        <v>124</v>
      </c>
      <c r="H67">
        <v>9</v>
      </c>
      <c r="I67">
        <v>1320</v>
      </c>
      <c r="J67">
        <v>15</v>
      </c>
      <c r="K67">
        <v>10098</v>
      </c>
      <c r="L67" t="s">
        <v>77</v>
      </c>
      <c r="M67" s="2">
        <f>Table1[[#This Row],[Revenue_INR]]-Table1[[#This Row],[Price_INR]]</f>
        <v>8778</v>
      </c>
      <c r="N67">
        <f>YEAR(Table1[[#This Row],[Date]])</f>
        <v>2024</v>
      </c>
      <c r="O67" s="2">
        <f t="shared" si="4"/>
        <v>1122</v>
      </c>
      <c r="P67" s="7">
        <f t="shared" si="5"/>
        <v>86.928104575163403</v>
      </c>
      <c r="Q67" s="2">
        <f t="shared" si="6"/>
        <v>1782</v>
      </c>
      <c r="R67" s="5" t="str">
        <f t="shared" si="7"/>
        <v>Below Average</v>
      </c>
      <c r="S67" s="5" t="str">
        <f>Table1[[#This Row],[Quarter]]&amp;" - "&amp;Table1[[#This Row],[City]]</f>
        <v>Q1 - Mumbai</v>
      </c>
    </row>
    <row r="68" spans="1:19" x14ac:dyDescent="0.3">
      <c r="A68" t="s">
        <v>125</v>
      </c>
      <c r="B68" s="1">
        <v>45320</v>
      </c>
      <c r="C68" t="s">
        <v>13</v>
      </c>
      <c r="D68" t="s">
        <v>14</v>
      </c>
      <c r="E68" t="s">
        <v>25</v>
      </c>
      <c r="F68" t="s">
        <v>60</v>
      </c>
      <c r="G68" t="s">
        <v>124</v>
      </c>
      <c r="H68">
        <v>10</v>
      </c>
      <c r="I68">
        <v>820</v>
      </c>
      <c r="J68">
        <v>20</v>
      </c>
      <c r="K68">
        <v>6560</v>
      </c>
      <c r="L68" t="s">
        <v>28</v>
      </c>
      <c r="M68" s="2">
        <f>Table1[[#This Row],[Revenue_INR]]-Table1[[#This Row],[Price_INR]]</f>
        <v>5740</v>
      </c>
      <c r="N68">
        <f>YEAR(Table1[[#This Row],[Date]])</f>
        <v>2024</v>
      </c>
      <c r="O68" s="2">
        <f t="shared" si="4"/>
        <v>656</v>
      </c>
      <c r="P68" s="7">
        <f t="shared" si="5"/>
        <v>87.5</v>
      </c>
      <c r="Q68" s="2">
        <f t="shared" si="6"/>
        <v>1640</v>
      </c>
      <c r="R68" s="5" t="str">
        <f t="shared" si="7"/>
        <v>Below Average</v>
      </c>
      <c r="S68" s="5" t="str">
        <f>Table1[[#This Row],[Quarter]]&amp;" - "&amp;Table1[[#This Row],[City]]</f>
        <v>Q1 - Hyderabad</v>
      </c>
    </row>
    <row r="69" spans="1:19" x14ac:dyDescent="0.3">
      <c r="A69" t="s">
        <v>126</v>
      </c>
      <c r="B69" s="1">
        <v>45321</v>
      </c>
      <c r="C69" t="s">
        <v>13</v>
      </c>
      <c r="D69" t="s">
        <v>14</v>
      </c>
      <c r="E69" t="s">
        <v>34</v>
      </c>
      <c r="F69" t="s">
        <v>31</v>
      </c>
      <c r="G69" t="s">
        <v>32</v>
      </c>
      <c r="H69">
        <v>10</v>
      </c>
      <c r="I69">
        <v>1170</v>
      </c>
      <c r="J69">
        <v>0</v>
      </c>
      <c r="K69">
        <v>11700</v>
      </c>
      <c r="L69" t="s">
        <v>36</v>
      </c>
      <c r="M69" s="2">
        <f>Table1[[#This Row],[Revenue_INR]]-Table1[[#This Row],[Price_INR]]</f>
        <v>10530</v>
      </c>
      <c r="N69">
        <f>YEAR(Table1[[#This Row],[Date]])</f>
        <v>2024</v>
      </c>
      <c r="O69" s="2">
        <f t="shared" si="4"/>
        <v>1170</v>
      </c>
      <c r="P69" s="7">
        <f t="shared" si="5"/>
        <v>90</v>
      </c>
      <c r="Q69" s="2">
        <f t="shared" si="6"/>
        <v>0</v>
      </c>
      <c r="R69" s="5" t="str">
        <f t="shared" si="7"/>
        <v>Below Average</v>
      </c>
      <c r="S69" s="5" t="str">
        <f>Table1[[#This Row],[Quarter]]&amp;" - "&amp;Table1[[#This Row],[City]]</f>
        <v>Q1 - Delhi</v>
      </c>
    </row>
    <row r="70" spans="1:19" x14ac:dyDescent="0.3">
      <c r="A70" t="s">
        <v>127</v>
      </c>
      <c r="B70" s="1">
        <v>45321</v>
      </c>
      <c r="C70" t="s">
        <v>13</v>
      </c>
      <c r="D70" t="s">
        <v>14</v>
      </c>
      <c r="E70" t="s">
        <v>15</v>
      </c>
      <c r="F70" t="s">
        <v>16</v>
      </c>
      <c r="G70" t="s">
        <v>41</v>
      </c>
      <c r="H70">
        <v>5</v>
      </c>
      <c r="I70">
        <v>720</v>
      </c>
      <c r="J70">
        <v>5</v>
      </c>
      <c r="K70">
        <v>3420</v>
      </c>
      <c r="L70" t="s">
        <v>18</v>
      </c>
      <c r="M70" s="2">
        <f>Table1[[#This Row],[Revenue_INR]]-Table1[[#This Row],[Price_INR]]</f>
        <v>2700</v>
      </c>
      <c r="N70">
        <f>YEAR(Table1[[#This Row],[Date]])</f>
        <v>2024</v>
      </c>
      <c r="O70" s="2">
        <f t="shared" si="4"/>
        <v>684</v>
      </c>
      <c r="P70" s="7">
        <f t="shared" si="5"/>
        <v>78.94736842105263</v>
      </c>
      <c r="Q70" s="2">
        <f t="shared" si="6"/>
        <v>180</v>
      </c>
      <c r="R70" s="5" t="str">
        <f t="shared" si="7"/>
        <v>Below Average</v>
      </c>
      <c r="S70" s="5" t="str">
        <f>Table1[[#This Row],[Quarter]]&amp;" - "&amp;Table1[[#This Row],[City]]</f>
        <v>Q1 - Kolkata</v>
      </c>
    </row>
    <row r="71" spans="1:19" x14ac:dyDescent="0.3">
      <c r="A71" t="s">
        <v>128</v>
      </c>
      <c r="B71" s="1">
        <v>45321</v>
      </c>
      <c r="C71" t="s">
        <v>13</v>
      </c>
      <c r="D71" t="s">
        <v>14</v>
      </c>
      <c r="E71" t="s">
        <v>20</v>
      </c>
      <c r="F71" t="s">
        <v>31</v>
      </c>
      <c r="G71" t="s">
        <v>35</v>
      </c>
      <c r="H71">
        <v>13</v>
      </c>
      <c r="I71">
        <v>5110</v>
      </c>
      <c r="J71">
        <v>25</v>
      </c>
      <c r="K71">
        <v>49822.5</v>
      </c>
      <c r="L71" t="s">
        <v>77</v>
      </c>
      <c r="M71" s="2">
        <f>Table1[[#This Row],[Revenue_INR]]-Table1[[#This Row],[Price_INR]]</f>
        <v>44712.5</v>
      </c>
      <c r="N71">
        <f>YEAR(Table1[[#This Row],[Date]])</f>
        <v>2024</v>
      </c>
      <c r="O71" s="2">
        <f t="shared" si="4"/>
        <v>3832.5</v>
      </c>
      <c r="P71" s="7">
        <f t="shared" si="5"/>
        <v>89.743589743589752</v>
      </c>
      <c r="Q71" s="2">
        <f t="shared" si="6"/>
        <v>16607.5</v>
      </c>
      <c r="R71" s="5" t="str">
        <f t="shared" si="7"/>
        <v>Above Average</v>
      </c>
      <c r="S71" s="5" t="str">
        <f>Table1[[#This Row],[Quarter]]&amp;" - "&amp;Table1[[#This Row],[City]]</f>
        <v>Q1 - Mumbai</v>
      </c>
    </row>
    <row r="72" spans="1:19" x14ac:dyDescent="0.3">
      <c r="A72" t="s">
        <v>129</v>
      </c>
      <c r="B72" s="1">
        <v>45321</v>
      </c>
      <c r="C72" t="s">
        <v>13</v>
      </c>
      <c r="D72" t="s">
        <v>14</v>
      </c>
      <c r="E72" t="s">
        <v>20</v>
      </c>
      <c r="F72" t="s">
        <v>47</v>
      </c>
      <c r="G72" t="s">
        <v>51</v>
      </c>
      <c r="H72">
        <v>8</v>
      </c>
      <c r="I72">
        <v>5590</v>
      </c>
      <c r="J72">
        <v>20</v>
      </c>
      <c r="K72">
        <v>35776</v>
      </c>
      <c r="L72" t="s">
        <v>77</v>
      </c>
      <c r="M72" s="2">
        <f>Table1[[#This Row],[Revenue_INR]]-Table1[[#This Row],[Price_INR]]</f>
        <v>30186</v>
      </c>
      <c r="N72">
        <f>YEAR(Table1[[#This Row],[Date]])</f>
        <v>2024</v>
      </c>
      <c r="O72" s="2">
        <f t="shared" si="4"/>
        <v>4472</v>
      </c>
      <c r="P72" s="7">
        <f t="shared" si="5"/>
        <v>84.375</v>
      </c>
      <c r="Q72" s="2">
        <f t="shared" si="6"/>
        <v>8944</v>
      </c>
      <c r="R72" s="5" t="str">
        <f t="shared" si="7"/>
        <v>Above Average</v>
      </c>
      <c r="S72" s="5" t="str">
        <f>Table1[[#This Row],[Quarter]]&amp;" - "&amp;Table1[[#This Row],[City]]</f>
        <v>Q1 - Mumbai</v>
      </c>
    </row>
    <row r="73" spans="1:19" x14ac:dyDescent="0.3">
      <c r="A73" t="s">
        <v>130</v>
      </c>
      <c r="B73" s="1">
        <v>45321</v>
      </c>
      <c r="C73" t="s">
        <v>13</v>
      </c>
      <c r="D73" t="s">
        <v>14</v>
      </c>
      <c r="E73" t="s">
        <v>20</v>
      </c>
      <c r="F73" t="s">
        <v>31</v>
      </c>
      <c r="G73" t="s">
        <v>131</v>
      </c>
      <c r="H73">
        <v>3</v>
      </c>
      <c r="I73">
        <v>5230</v>
      </c>
      <c r="J73">
        <v>20</v>
      </c>
      <c r="K73">
        <v>12552</v>
      </c>
      <c r="L73" t="s">
        <v>39</v>
      </c>
      <c r="M73" s="2">
        <f>Table1[[#This Row],[Revenue_INR]]-Table1[[#This Row],[Price_INR]]</f>
        <v>7322</v>
      </c>
      <c r="N73">
        <f>YEAR(Table1[[#This Row],[Date]])</f>
        <v>2024</v>
      </c>
      <c r="O73" s="2">
        <f t="shared" si="4"/>
        <v>4184</v>
      </c>
      <c r="P73" s="7">
        <f t="shared" si="5"/>
        <v>58.333333333333336</v>
      </c>
      <c r="Q73" s="2">
        <f t="shared" si="6"/>
        <v>3138</v>
      </c>
      <c r="R73" s="5" t="str">
        <f t="shared" si="7"/>
        <v>Below Average</v>
      </c>
      <c r="S73" s="5" t="str">
        <f>Table1[[#This Row],[Quarter]]&amp;" - "&amp;Table1[[#This Row],[City]]</f>
        <v>Q1 - Mumbai</v>
      </c>
    </row>
    <row r="74" spans="1:19" x14ac:dyDescent="0.3">
      <c r="A74" t="s">
        <v>132</v>
      </c>
      <c r="B74" s="1">
        <v>45322</v>
      </c>
      <c r="C74" t="s">
        <v>13</v>
      </c>
      <c r="D74" t="s">
        <v>14</v>
      </c>
      <c r="E74" t="s">
        <v>15</v>
      </c>
      <c r="F74" t="s">
        <v>21</v>
      </c>
      <c r="G74" t="s">
        <v>22</v>
      </c>
      <c r="H74">
        <v>14</v>
      </c>
      <c r="I74">
        <v>2920</v>
      </c>
      <c r="J74">
        <v>5</v>
      </c>
      <c r="K74">
        <v>38836</v>
      </c>
      <c r="L74" t="s">
        <v>18</v>
      </c>
      <c r="M74" s="2">
        <f>Table1[[#This Row],[Revenue_INR]]-Table1[[#This Row],[Price_INR]]</f>
        <v>35916</v>
      </c>
      <c r="N74">
        <f>YEAR(Table1[[#This Row],[Date]])</f>
        <v>2024</v>
      </c>
      <c r="O74" s="2">
        <f t="shared" si="4"/>
        <v>2774</v>
      </c>
      <c r="P74" s="7">
        <f t="shared" si="5"/>
        <v>92.481203007518801</v>
      </c>
      <c r="Q74" s="2">
        <f t="shared" si="6"/>
        <v>2044</v>
      </c>
      <c r="R74" s="5" t="str">
        <f t="shared" si="7"/>
        <v>Above Average</v>
      </c>
      <c r="S74" s="5" t="str">
        <f>Table1[[#This Row],[Quarter]]&amp;" - "&amp;Table1[[#This Row],[City]]</f>
        <v>Q1 - Kolkata</v>
      </c>
    </row>
    <row r="75" spans="1:19" x14ac:dyDescent="0.3">
      <c r="A75" t="s">
        <v>133</v>
      </c>
      <c r="B75" s="1">
        <v>45322</v>
      </c>
      <c r="C75" t="s">
        <v>13</v>
      </c>
      <c r="D75" t="s">
        <v>14</v>
      </c>
      <c r="E75" t="s">
        <v>25</v>
      </c>
      <c r="F75" t="s">
        <v>26</v>
      </c>
      <c r="G75" t="s">
        <v>82</v>
      </c>
      <c r="H75">
        <v>12</v>
      </c>
      <c r="I75">
        <v>1580</v>
      </c>
      <c r="J75">
        <v>25</v>
      </c>
      <c r="K75">
        <v>14220</v>
      </c>
      <c r="L75" t="s">
        <v>42</v>
      </c>
      <c r="M75" s="2">
        <f>Table1[[#This Row],[Revenue_INR]]-Table1[[#This Row],[Price_INR]]</f>
        <v>12640</v>
      </c>
      <c r="N75">
        <f>YEAR(Table1[[#This Row],[Date]])</f>
        <v>2024</v>
      </c>
      <c r="O75" s="2">
        <f t="shared" si="4"/>
        <v>1185</v>
      </c>
      <c r="P75" s="7">
        <f t="shared" si="5"/>
        <v>88.888888888888886</v>
      </c>
      <c r="Q75" s="2">
        <f t="shared" si="6"/>
        <v>4740</v>
      </c>
      <c r="R75" s="5" t="str">
        <f t="shared" si="7"/>
        <v>Below Average</v>
      </c>
      <c r="S75" s="5" t="str">
        <f>Table1[[#This Row],[Quarter]]&amp;" - "&amp;Table1[[#This Row],[City]]</f>
        <v>Q1 - Hyderabad</v>
      </c>
    </row>
    <row r="76" spans="1:19" x14ac:dyDescent="0.3">
      <c r="A76" t="s">
        <v>134</v>
      </c>
      <c r="B76" s="1">
        <v>45323</v>
      </c>
      <c r="C76" t="s">
        <v>135</v>
      </c>
      <c r="D76" t="s">
        <v>14</v>
      </c>
      <c r="E76" t="s">
        <v>20</v>
      </c>
      <c r="F76" t="s">
        <v>47</v>
      </c>
      <c r="G76" t="s">
        <v>102</v>
      </c>
      <c r="H76">
        <v>8</v>
      </c>
      <c r="I76">
        <v>4320</v>
      </c>
      <c r="J76">
        <v>15</v>
      </c>
      <c r="K76">
        <v>29376</v>
      </c>
      <c r="L76" t="s">
        <v>39</v>
      </c>
      <c r="M76" s="2">
        <f>Table1[[#This Row],[Revenue_INR]]-Table1[[#This Row],[Price_INR]]</f>
        <v>25056</v>
      </c>
      <c r="N76">
        <f>YEAR(Table1[[#This Row],[Date]])</f>
        <v>2024</v>
      </c>
      <c r="O76" s="2">
        <f t="shared" si="4"/>
        <v>3672</v>
      </c>
      <c r="P76" s="7">
        <f t="shared" si="5"/>
        <v>85.294117647058826</v>
      </c>
      <c r="Q76" s="2">
        <f t="shared" si="6"/>
        <v>5184</v>
      </c>
      <c r="R76" s="5" t="str">
        <f t="shared" si="7"/>
        <v>Above Average</v>
      </c>
      <c r="S76" s="5" t="str">
        <f>Table1[[#This Row],[Quarter]]&amp;" - "&amp;Table1[[#This Row],[City]]</f>
        <v>Q1 - Mumbai</v>
      </c>
    </row>
    <row r="77" spans="1:19" x14ac:dyDescent="0.3">
      <c r="A77" t="s">
        <v>136</v>
      </c>
      <c r="B77" s="1">
        <v>45323</v>
      </c>
      <c r="C77" t="s">
        <v>135</v>
      </c>
      <c r="D77" t="s">
        <v>14</v>
      </c>
      <c r="E77" t="s">
        <v>20</v>
      </c>
      <c r="F77" t="s">
        <v>16</v>
      </c>
      <c r="G77" t="s">
        <v>17</v>
      </c>
      <c r="H77">
        <v>10</v>
      </c>
      <c r="I77">
        <v>2260</v>
      </c>
      <c r="J77">
        <v>10</v>
      </c>
      <c r="K77">
        <v>20340</v>
      </c>
      <c r="L77" t="s">
        <v>77</v>
      </c>
      <c r="M77" s="2">
        <f>Table1[[#This Row],[Revenue_INR]]-Table1[[#This Row],[Price_INR]]</f>
        <v>18080</v>
      </c>
      <c r="N77">
        <f>YEAR(Table1[[#This Row],[Date]])</f>
        <v>2024</v>
      </c>
      <c r="O77" s="2">
        <f t="shared" si="4"/>
        <v>2034</v>
      </c>
      <c r="P77" s="7">
        <f t="shared" si="5"/>
        <v>88.888888888888886</v>
      </c>
      <c r="Q77" s="2">
        <f t="shared" si="6"/>
        <v>2260</v>
      </c>
      <c r="R77" s="5" t="str">
        <f t="shared" si="7"/>
        <v>Below Average</v>
      </c>
      <c r="S77" s="5" t="str">
        <f>Table1[[#This Row],[Quarter]]&amp;" - "&amp;Table1[[#This Row],[City]]</f>
        <v>Q1 - Mumbai</v>
      </c>
    </row>
    <row r="78" spans="1:19" x14ac:dyDescent="0.3">
      <c r="A78" t="s">
        <v>137</v>
      </c>
      <c r="B78" s="1">
        <v>45323</v>
      </c>
      <c r="C78" t="s">
        <v>135</v>
      </c>
      <c r="D78" t="s">
        <v>14</v>
      </c>
      <c r="E78" t="s">
        <v>34</v>
      </c>
      <c r="F78" t="s">
        <v>31</v>
      </c>
      <c r="G78" t="s">
        <v>32</v>
      </c>
      <c r="H78">
        <v>5</v>
      </c>
      <c r="I78">
        <v>4900</v>
      </c>
      <c r="J78">
        <v>30</v>
      </c>
      <c r="K78">
        <v>17150</v>
      </c>
      <c r="L78" t="s">
        <v>49</v>
      </c>
      <c r="M78" s="2">
        <f>Table1[[#This Row],[Revenue_INR]]-Table1[[#This Row],[Price_INR]]</f>
        <v>12250</v>
      </c>
      <c r="N78">
        <f>YEAR(Table1[[#This Row],[Date]])</f>
        <v>2024</v>
      </c>
      <c r="O78" s="2">
        <f t="shared" si="4"/>
        <v>3430</v>
      </c>
      <c r="P78" s="7">
        <f t="shared" si="5"/>
        <v>71.428571428571431</v>
      </c>
      <c r="Q78" s="2">
        <f t="shared" si="6"/>
        <v>7350</v>
      </c>
      <c r="R78" s="5" t="str">
        <f t="shared" si="7"/>
        <v>Below Average</v>
      </c>
      <c r="S78" s="5" t="str">
        <f>Table1[[#This Row],[Quarter]]&amp;" - "&amp;Table1[[#This Row],[City]]</f>
        <v>Q1 - Delhi</v>
      </c>
    </row>
    <row r="79" spans="1:19" x14ac:dyDescent="0.3">
      <c r="A79" t="s">
        <v>138</v>
      </c>
      <c r="B79" s="1">
        <v>45323</v>
      </c>
      <c r="C79" t="s">
        <v>135</v>
      </c>
      <c r="D79" t="s">
        <v>14</v>
      </c>
      <c r="E79" t="s">
        <v>34</v>
      </c>
      <c r="F79" t="s">
        <v>60</v>
      </c>
      <c r="G79" t="s">
        <v>99</v>
      </c>
      <c r="H79">
        <v>11</v>
      </c>
      <c r="I79">
        <v>1630</v>
      </c>
      <c r="J79">
        <v>10</v>
      </c>
      <c r="K79">
        <v>16137</v>
      </c>
      <c r="L79" t="s">
        <v>49</v>
      </c>
      <c r="M79" s="2">
        <f>Table1[[#This Row],[Revenue_INR]]-Table1[[#This Row],[Price_INR]]</f>
        <v>14507</v>
      </c>
      <c r="N79">
        <f>YEAR(Table1[[#This Row],[Date]])</f>
        <v>2024</v>
      </c>
      <c r="O79" s="2">
        <f t="shared" si="4"/>
        <v>1467</v>
      </c>
      <c r="P79" s="7">
        <f t="shared" si="5"/>
        <v>89.898989898989896</v>
      </c>
      <c r="Q79" s="2">
        <f t="shared" si="6"/>
        <v>1793</v>
      </c>
      <c r="R79" s="5" t="str">
        <f t="shared" si="7"/>
        <v>Below Average</v>
      </c>
      <c r="S79" s="5" t="str">
        <f>Table1[[#This Row],[Quarter]]&amp;" - "&amp;Table1[[#This Row],[City]]</f>
        <v>Q1 - Delhi</v>
      </c>
    </row>
    <row r="80" spans="1:19" x14ac:dyDescent="0.3">
      <c r="A80" t="s">
        <v>139</v>
      </c>
      <c r="B80" s="1">
        <v>45324</v>
      </c>
      <c r="C80" t="s">
        <v>135</v>
      </c>
      <c r="D80" t="s">
        <v>14</v>
      </c>
      <c r="E80" t="s">
        <v>15</v>
      </c>
      <c r="F80" t="s">
        <v>31</v>
      </c>
      <c r="G80" t="s">
        <v>131</v>
      </c>
      <c r="H80">
        <v>8</v>
      </c>
      <c r="I80">
        <v>2090</v>
      </c>
      <c r="J80">
        <v>5</v>
      </c>
      <c r="K80">
        <v>15884</v>
      </c>
      <c r="L80" t="s">
        <v>53</v>
      </c>
      <c r="M80" s="2">
        <f>Table1[[#This Row],[Revenue_INR]]-Table1[[#This Row],[Price_INR]]</f>
        <v>13794</v>
      </c>
      <c r="N80">
        <f>YEAR(Table1[[#This Row],[Date]])</f>
        <v>2024</v>
      </c>
      <c r="O80" s="2">
        <f t="shared" si="4"/>
        <v>1985.5</v>
      </c>
      <c r="P80" s="7">
        <f t="shared" si="5"/>
        <v>86.842105263157904</v>
      </c>
      <c r="Q80" s="2">
        <f t="shared" si="6"/>
        <v>836</v>
      </c>
      <c r="R80" s="5" t="str">
        <f t="shared" si="7"/>
        <v>Below Average</v>
      </c>
      <c r="S80" s="5" t="str">
        <f>Table1[[#This Row],[Quarter]]&amp;" - "&amp;Table1[[#This Row],[City]]</f>
        <v>Q1 - Kolkata</v>
      </c>
    </row>
    <row r="81" spans="1:19" x14ac:dyDescent="0.3">
      <c r="A81" t="s">
        <v>140</v>
      </c>
      <c r="B81" s="1">
        <v>45324</v>
      </c>
      <c r="C81" t="s">
        <v>135</v>
      </c>
      <c r="D81" t="s">
        <v>14</v>
      </c>
      <c r="E81" t="s">
        <v>25</v>
      </c>
      <c r="F81" t="s">
        <v>26</v>
      </c>
      <c r="G81" t="s">
        <v>80</v>
      </c>
      <c r="H81">
        <v>6</v>
      </c>
      <c r="I81">
        <v>2020</v>
      </c>
      <c r="J81">
        <v>25</v>
      </c>
      <c r="K81">
        <v>9090</v>
      </c>
      <c r="L81" t="s">
        <v>66</v>
      </c>
      <c r="M81" s="2">
        <f>Table1[[#This Row],[Revenue_INR]]-Table1[[#This Row],[Price_INR]]</f>
        <v>7070</v>
      </c>
      <c r="N81">
        <f>YEAR(Table1[[#This Row],[Date]])</f>
        <v>2024</v>
      </c>
      <c r="O81" s="2">
        <f t="shared" si="4"/>
        <v>1515</v>
      </c>
      <c r="P81" s="7">
        <f t="shared" si="5"/>
        <v>77.777777777777786</v>
      </c>
      <c r="Q81" s="2">
        <f t="shared" si="6"/>
        <v>3030</v>
      </c>
      <c r="R81" s="5" t="str">
        <f t="shared" si="7"/>
        <v>Below Average</v>
      </c>
      <c r="S81" s="5" t="str">
        <f>Table1[[#This Row],[Quarter]]&amp;" - "&amp;Table1[[#This Row],[City]]</f>
        <v>Q1 - Hyderabad</v>
      </c>
    </row>
    <row r="82" spans="1:19" x14ac:dyDescent="0.3">
      <c r="A82" t="s">
        <v>141</v>
      </c>
      <c r="B82" s="1">
        <v>45324</v>
      </c>
      <c r="C82" t="s">
        <v>135</v>
      </c>
      <c r="D82" t="s">
        <v>14</v>
      </c>
      <c r="E82" t="s">
        <v>15</v>
      </c>
      <c r="F82" t="s">
        <v>16</v>
      </c>
      <c r="G82" t="s">
        <v>41</v>
      </c>
      <c r="H82">
        <v>13</v>
      </c>
      <c r="I82">
        <v>2000</v>
      </c>
      <c r="J82">
        <v>5</v>
      </c>
      <c r="K82">
        <v>24700</v>
      </c>
      <c r="L82" t="s">
        <v>18</v>
      </c>
      <c r="M82" s="2">
        <f>Table1[[#This Row],[Revenue_INR]]-Table1[[#This Row],[Price_INR]]</f>
        <v>22700</v>
      </c>
      <c r="N82">
        <f>YEAR(Table1[[#This Row],[Date]])</f>
        <v>2024</v>
      </c>
      <c r="O82" s="2">
        <f t="shared" si="4"/>
        <v>1900</v>
      </c>
      <c r="P82" s="7">
        <f t="shared" si="5"/>
        <v>91.902834008097173</v>
      </c>
      <c r="Q82" s="2">
        <f t="shared" si="6"/>
        <v>1300</v>
      </c>
      <c r="R82" s="5" t="str">
        <f t="shared" si="7"/>
        <v>Above Average</v>
      </c>
      <c r="S82" s="5" t="str">
        <f>Table1[[#This Row],[Quarter]]&amp;" - "&amp;Table1[[#This Row],[City]]</f>
        <v>Q1 - Kolkata</v>
      </c>
    </row>
    <row r="83" spans="1:19" x14ac:dyDescent="0.3">
      <c r="A83" t="s">
        <v>142</v>
      </c>
      <c r="B83" s="1">
        <v>45324</v>
      </c>
      <c r="C83" t="s">
        <v>135</v>
      </c>
      <c r="D83" t="s">
        <v>14</v>
      </c>
      <c r="E83" t="s">
        <v>20</v>
      </c>
      <c r="F83" t="s">
        <v>60</v>
      </c>
      <c r="G83" t="s">
        <v>99</v>
      </c>
      <c r="H83">
        <v>5</v>
      </c>
      <c r="I83">
        <v>2130</v>
      </c>
      <c r="J83">
        <v>20</v>
      </c>
      <c r="K83">
        <v>8520</v>
      </c>
      <c r="L83" t="s">
        <v>23</v>
      </c>
      <c r="M83" s="2">
        <f>Table1[[#This Row],[Revenue_INR]]-Table1[[#This Row],[Price_INR]]</f>
        <v>6390</v>
      </c>
      <c r="N83">
        <f>YEAR(Table1[[#This Row],[Date]])</f>
        <v>2024</v>
      </c>
      <c r="O83" s="2">
        <f t="shared" si="4"/>
        <v>1704</v>
      </c>
      <c r="P83" s="7">
        <f t="shared" si="5"/>
        <v>75</v>
      </c>
      <c r="Q83" s="2">
        <f t="shared" si="6"/>
        <v>2130</v>
      </c>
      <c r="R83" s="5" t="str">
        <f t="shared" si="7"/>
        <v>Below Average</v>
      </c>
      <c r="S83" s="5" t="str">
        <f>Table1[[#This Row],[Quarter]]&amp;" - "&amp;Table1[[#This Row],[City]]</f>
        <v>Q1 - Mumbai</v>
      </c>
    </row>
    <row r="84" spans="1:19" x14ac:dyDescent="0.3">
      <c r="A84" t="s">
        <v>143</v>
      </c>
      <c r="B84" s="1">
        <v>45324</v>
      </c>
      <c r="C84" t="s">
        <v>135</v>
      </c>
      <c r="D84" t="s">
        <v>14</v>
      </c>
      <c r="E84" t="s">
        <v>20</v>
      </c>
      <c r="F84" t="s">
        <v>21</v>
      </c>
      <c r="G84" t="s">
        <v>71</v>
      </c>
      <c r="H84">
        <v>10</v>
      </c>
      <c r="I84">
        <v>2520</v>
      </c>
      <c r="J84">
        <v>15</v>
      </c>
      <c r="K84">
        <v>21420</v>
      </c>
      <c r="L84" t="s">
        <v>39</v>
      </c>
      <c r="M84" s="2">
        <f>Table1[[#This Row],[Revenue_INR]]-Table1[[#This Row],[Price_INR]]</f>
        <v>18900</v>
      </c>
      <c r="N84">
        <f>YEAR(Table1[[#This Row],[Date]])</f>
        <v>2024</v>
      </c>
      <c r="O84" s="2">
        <f t="shared" si="4"/>
        <v>2142</v>
      </c>
      <c r="P84" s="7">
        <f t="shared" si="5"/>
        <v>88.235294117647058</v>
      </c>
      <c r="Q84" s="2">
        <f t="shared" si="6"/>
        <v>3780</v>
      </c>
      <c r="R84" s="5" t="str">
        <f t="shared" si="7"/>
        <v>Below Average</v>
      </c>
      <c r="S84" s="5" t="str">
        <f>Table1[[#This Row],[Quarter]]&amp;" - "&amp;Table1[[#This Row],[City]]</f>
        <v>Q1 - Mumbai</v>
      </c>
    </row>
    <row r="85" spans="1:19" x14ac:dyDescent="0.3">
      <c r="A85" t="s">
        <v>144</v>
      </c>
      <c r="B85" s="1">
        <v>45325</v>
      </c>
      <c r="C85" t="s">
        <v>135</v>
      </c>
      <c r="D85" t="s">
        <v>14</v>
      </c>
      <c r="E85" t="s">
        <v>20</v>
      </c>
      <c r="F85" t="s">
        <v>26</v>
      </c>
      <c r="G85" t="s">
        <v>27</v>
      </c>
      <c r="H85">
        <v>2</v>
      </c>
      <c r="I85">
        <v>12050</v>
      </c>
      <c r="J85">
        <v>0</v>
      </c>
      <c r="K85">
        <v>24100</v>
      </c>
      <c r="L85" t="s">
        <v>39</v>
      </c>
      <c r="M85" s="2">
        <f>Table1[[#This Row],[Revenue_INR]]-Table1[[#This Row],[Price_INR]]</f>
        <v>12050</v>
      </c>
      <c r="N85">
        <f>YEAR(Table1[[#This Row],[Date]])</f>
        <v>2024</v>
      </c>
      <c r="O85" s="2">
        <f t="shared" si="4"/>
        <v>12050</v>
      </c>
      <c r="P85" s="7">
        <f t="shared" si="5"/>
        <v>50</v>
      </c>
      <c r="Q85" s="2">
        <f t="shared" si="6"/>
        <v>0</v>
      </c>
      <c r="R85" s="5" t="str">
        <f t="shared" si="7"/>
        <v>Below Average</v>
      </c>
      <c r="S85" s="5" t="str">
        <f>Table1[[#This Row],[Quarter]]&amp;" - "&amp;Table1[[#This Row],[City]]</f>
        <v>Q1 - Mumbai</v>
      </c>
    </row>
    <row r="86" spans="1:19" x14ac:dyDescent="0.3">
      <c r="A86" t="s">
        <v>145</v>
      </c>
      <c r="B86" s="1">
        <v>45325</v>
      </c>
      <c r="C86" t="s">
        <v>135</v>
      </c>
      <c r="D86" t="s">
        <v>14</v>
      </c>
      <c r="E86" t="s">
        <v>25</v>
      </c>
      <c r="F86" t="s">
        <v>60</v>
      </c>
      <c r="G86" t="s">
        <v>99</v>
      </c>
      <c r="H86">
        <v>8</v>
      </c>
      <c r="I86">
        <v>2390</v>
      </c>
      <c r="J86">
        <v>0</v>
      </c>
      <c r="K86">
        <v>19120</v>
      </c>
      <c r="L86" t="s">
        <v>28</v>
      </c>
      <c r="M86" s="2">
        <f>Table1[[#This Row],[Revenue_INR]]-Table1[[#This Row],[Price_INR]]</f>
        <v>16730</v>
      </c>
      <c r="N86">
        <f>YEAR(Table1[[#This Row],[Date]])</f>
        <v>2024</v>
      </c>
      <c r="O86" s="2">
        <f t="shared" si="4"/>
        <v>2390</v>
      </c>
      <c r="P86" s="7">
        <f t="shared" si="5"/>
        <v>87.5</v>
      </c>
      <c r="Q86" s="2">
        <f t="shared" si="6"/>
        <v>0</v>
      </c>
      <c r="R86" s="5" t="str">
        <f t="shared" si="7"/>
        <v>Below Average</v>
      </c>
      <c r="S86" s="5" t="str">
        <f>Table1[[#This Row],[Quarter]]&amp;" - "&amp;Table1[[#This Row],[City]]</f>
        <v>Q1 - Hyderabad</v>
      </c>
    </row>
    <row r="87" spans="1:19" x14ac:dyDescent="0.3">
      <c r="A87" t="s">
        <v>146</v>
      </c>
      <c r="B87" s="1">
        <v>45325</v>
      </c>
      <c r="C87" t="s">
        <v>135</v>
      </c>
      <c r="D87" t="s">
        <v>14</v>
      </c>
      <c r="E87" t="s">
        <v>34</v>
      </c>
      <c r="F87" t="s">
        <v>47</v>
      </c>
      <c r="G87" t="s">
        <v>55</v>
      </c>
      <c r="H87">
        <v>14</v>
      </c>
      <c r="I87">
        <v>7310</v>
      </c>
      <c r="J87">
        <v>20</v>
      </c>
      <c r="K87">
        <v>81872</v>
      </c>
      <c r="L87" t="s">
        <v>49</v>
      </c>
      <c r="M87" s="2">
        <f>Table1[[#This Row],[Revenue_INR]]-Table1[[#This Row],[Price_INR]]</f>
        <v>74562</v>
      </c>
      <c r="N87">
        <f>YEAR(Table1[[#This Row],[Date]])</f>
        <v>2024</v>
      </c>
      <c r="O87" s="2">
        <f t="shared" si="4"/>
        <v>5848</v>
      </c>
      <c r="P87" s="7">
        <f t="shared" si="5"/>
        <v>91.071428571428569</v>
      </c>
      <c r="Q87" s="2">
        <f t="shared" si="6"/>
        <v>20468</v>
      </c>
      <c r="R87" s="5" t="str">
        <f t="shared" si="7"/>
        <v>Above Average</v>
      </c>
      <c r="S87" s="5" t="str">
        <f>Table1[[#This Row],[Quarter]]&amp;" - "&amp;Table1[[#This Row],[City]]</f>
        <v>Q1 - Delhi</v>
      </c>
    </row>
    <row r="88" spans="1:19" x14ac:dyDescent="0.3">
      <c r="A88" t="s">
        <v>147</v>
      </c>
      <c r="B88" s="1">
        <v>45326</v>
      </c>
      <c r="C88" t="s">
        <v>135</v>
      </c>
      <c r="D88" t="s">
        <v>14</v>
      </c>
      <c r="E88" t="s">
        <v>25</v>
      </c>
      <c r="F88" t="s">
        <v>60</v>
      </c>
      <c r="G88" t="s">
        <v>61</v>
      </c>
      <c r="H88">
        <v>2</v>
      </c>
      <c r="I88">
        <v>2220</v>
      </c>
      <c r="J88">
        <v>20</v>
      </c>
      <c r="K88">
        <v>3552</v>
      </c>
      <c r="L88" t="s">
        <v>66</v>
      </c>
      <c r="M88" s="2">
        <f>Table1[[#This Row],[Revenue_INR]]-Table1[[#This Row],[Price_INR]]</f>
        <v>1332</v>
      </c>
      <c r="N88">
        <f>YEAR(Table1[[#This Row],[Date]])</f>
        <v>2024</v>
      </c>
      <c r="O88" s="2">
        <f t="shared" si="4"/>
        <v>1776</v>
      </c>
      <c r="P88" s="7">
        <f t="shared" si="5"/>
        <v>37.5</v>
      </c>
      <c r="Q88" s="2">
        <f t="shared" si="6"/>
        <v>888</v>
      </c>
      <c r="R88" s="5" t="str">
        <f t="shared" si="7"/>
        <v>Below Average</v>
      </c>
      <c r="S88" s="5" t="str">
        <f>Table1[[#This Row],[Quarter]]&amp;" - "&amp;Table1[[#This Row],[City]]</f>
        <v>Q1 - Hyderabad</v>
      </c>
    </row>
    <row r="89" spans="1:19" x14ac:dyDescent="0.3">
      <c r="A89" t="s">
        <v>148</v>
      </c>
      <c r="B89" s="1">
        <v>45327</v>
      </c>
      <c r="C89" t="s">
        <v>135</v>
      </c>
      <c r="D89" t="s">
        <v>14</v>
      </c>
      <c r="E89" t="s">
        <v>15</v>
      </c>
      <c r="F89" t="s">
        <v>47</v>
      </c>
      <c r="G89" t="s">
        <v>102</v>
      </c>
      <c r="H89">
        <v>12</v>
      </c>
      <c r="I89">
        <v>4830</v>
      </c>
      <c r="J89">
        <v>30</v>
      </c>
      <c r="K89">
        <v>40572</v>
      </c>
      <c r="L89" t="s">
        <v>18</v>
      </c>
      <c r="M89" s="2">
        <f>Table1[[#This Row],[Revenue_INR]]-Table1[[#This Row],[Price_INR]]</f>
        <v>35742</v>
      </c>
      <c r="N89">
        <f>YEAR(Table1[[#This Row],[Date]])</f>
        <v>2024</v>
      </c>
      <c r="O89" s="2">
        <f t="shared" si="4"/>
        <v>3381</v>
      </c>
      <c r="P89" s="7">
        <f t="shared" si="5"/>
        <v>88.095238095238088</v>
      </c>
      <c r="Q89" s="2">
        <f t="shared" si="6"/>
        <v>17388</v>
      </c>
      <c r="R89" s="5" t="str">
        <f t="shared" si="7"/>
        <v>Above Average</v>
      </c>
      <c r="S89" s="5" t="str">
        <f>Table1[[#This Row],[Quarter]]&amp;" - "&amp;Table1[[#This Row],[City]]</f>
        <v>Q1 - Kolkata</v>
      </c>
    </row>
    <row r="90" spans="1:19" x14ac:dyDescent="0.3">
      <c r="A90" t="s">
        <v>149</v>
      </c>
      <c r="B90" s="1">
        <v>45327</v>
      </c>
      <c r="C90" t="s">
        <v>135</v>
      </c>
      <c r="D90" t="s">
        <v>14</v>
      </c>
      <c r="E90" t="s">
        <v>20</v>
      </c>
      <c r="F90" t="s">
        <v>60</v>
      </c>
      <c r="G90" t="s">
        <v>85</v>
      </c>
      <c r="H90">
        <v>3</v>
      </c>
      <c r="I90">
        <v>1560</v>
      </c>
      <c r="J90">
        <v>10</v>
      </c>
      <c r="K90">
        <v>4212</v>
      </c>
      <c r="L90" t="s">
        <v>39</v>
      </c>
      <c r="M90" s="2">
        <f>Table1[[#This Row],[Revenue_INR]]-Table1[[#This Row],[Price_INR]]</f>
        <v>2652</v>
      </c>
      <c r="N90">
        <f>YEAR(Table1[[#This Row],[Date]])</f>
        <v>2024</v>
      </c>
      <c r="O90" s="2">
        <f t="shared" si="4"/>
        <v>1404</v>
      </c>
      <c r="P90" s="7">
        <f t="shared" si="5"/>
        <v>62.962962962962962</v>
      </c>
      <c r="Q90" s="2">
        <f t="shared" si="6"/>
        <v>468</v>
      </c>
      <c r="R90" s="5" t="str">
        <f t="shared" si="7"/>
        <v>Below Average</v>
      </c>
      <c r="S90" s="5" t="str">
        <f>Table1[[#This Row],[Quarter]]&amp;" - "&amp;Table1[[#This Row],[City]]</f>
        <v>Q1 - Mumbai</v>
      </c>
    </row>
    <row r="91" spans="1:19" x14ac:dyDescent="0.3">
      <c r="A91" t="s">
        <v>150</v>
      </c>
      <c r="B91" s="1">
        <v>45327</v>
      </c>
      <c r="C91" t="s">
        <v>135</v>
      </c>
      <c r="D91" t="s">
        <v>14</v>
      </c>
      <c r="E91" t="s">
        <v>20</v>
      </c>
      <c r="F91" t="s">
        <v>21</v>
      </c>
      <c r="G91" t="s">
        <v>75</v>
      </c>
      <c r="H91">
        <v>8</v>
      </c>
      <c r="I91">
        <v>1030</v>
      </c>
      <c r="J91">
        <v>30</v>
      </c>
      <c r="K91">
        <v>5768</v>
      </c>
      <c r="L91" t="s">
        <v>77</v>
      </c>
      <c r="M91" s="2">
        <f>Table1[[#This Row],[Revenue_INR]]-Table1[[#This Row],[Price_INR]]</f>
        <v>4738</v>
      </c>
      <c r="N91">
        <f>YEAR(Table1[[#This Row],[Date]])</f>
        <v>2024</v>
      </c>
      <c r="O91" s="2">
        <f t="shared" si="4"/>
        <v>721</v>
      </c>
      <c r="P91" s="7">
        <f t="shared" si="5"/>
        <v>82.142857142857139</v>
      </c>
      <c r="Q91" s="2">
        <f t="shared" si="6"/>
        <v>2472</v>
      </c>
      <c r="R91" s="5" t="str">
        <f t="shared" si="7"/>
        <v>Below Average</v>
      </c>
      <c r="S91" s="5" t="str">
        <f>Table1[[#This Row],[Quarter]]&amp;" - "&amp;Table1[[#This Row],[City]]</f>
        <v>Q1 - Mumbai</v>
      </c>
    </row>
    <row r="92" spans="1:19" x14ac:dyDescent="0.3">
      <c r="A92" t="s">
        <v>151</v>
      </c>
      <c r="B92" s="1">
        <v>45327</v>
      </c>
      <c r="C92" t="s">
        <v>135</v>
      </c>
      <c r="D92" t="s">
        <v>14</v>
      </c>
      <c r="E92" t="s">
        <v>15</v>
      </c>
      <c r="F92" t="s">
        <v>47</v>
      </c>
      <c r="G92" t="s">
        <v>51</v>
      </c>
      <c r="H92">
        <v>12</v>
      </c>
      <c r="I92">
        <v>5620</v>
      </c>
      <c r="J92">
        <v>25</v>
      </c>
      <c r="K92">
        <v>50580</v>
      </c>
      <c r="L92" t="s">
        <v>92</v>
      </c>
      <c r="M92" s="2">
        <f>Table1[[#This Row],[Revenue_INR]]-Table1[[#This Row],[Price_INR]]</f>
        <v>44960</v>
      </c>
      <c r="N92">
        <f>YEAR(Table1[[#This Row],[Date]])</f>
        <v>2024</v>
      </c>
      <c r="O92" s="2">
        <f t="shared" si="4"/>
        <v>4215</v>
      </c>
      <c r="P92" s="7">
        <f t="shared" si="5"/>
        <v>88.888888888888886</v>
      </c>
      <c r="Q92" s="2">
        <f t="shared" si="6"/>
        <v>16860</v>
      </c>
      <c r="R92" s="5" t="str">
        <f t="shared" si="7"/>
        <v>Above Average</v>
      </c>
      <c r="S92" s="5" t="str">
        <f>Table1[[#This Row],[Quarter]]&amp;" - "&amp;Table1[[#This Row],[City]]</f>
        <v>Q1 - Kolkata</v>
      </c>
    </row>
    <row r="93" spans="1:19" x14ac:dyDescent="0.3">
      <c r="A93" t="s">
        <v>152</v>
      </c>
      <c r="B93" s="1">
        <v>45327</v>
      </c>
      <c r="C93" t="s">
        <v>135</v>
      </c>
      <c r="D93" t="s">
        <v>14</v>
      </c>
      <c r="E93" t="s">
        <v>20</v>
      </c>
      <c r="F93" t="s">
        <v>16</v>
      </c>
      <c r="G93" t="s">
        <v>44</v>
      </c>
      <c r="H93">
        <v>5</v>
      </c>
      <c r="I93">
        <v>1370</v>
      </c>
      <c r="J93">
        <v>30</v>
      </c>
      <c r="K93">
        <v>4795</v>
      </c>
      <c r="L93" t="s">
        <v>23</v>
      </c>
      <c r="M93" s="2">
        <f>Table1[[#This Row],[Revenue_INR]]-Table1[[#This Row],[Price_INR]]</f>
        <v>3425</v>
      </c>
      <c r="N93">
        <f>YEAR(Table1[[#This Row],[Date]])</f>
        <v>2024</v>
      </c>
      <c r="O93" s="2">
        <f t="shared" si="4"/>
        <v>959</v>
      </c>
      <c r="P93" s="7">
        <f t="shared" si="5"/>
        <v>71.428571428571431</v>
      </c>
      <c r="Q93" s="2">
        <f t="shared" si="6"/>
        <v>2055</v>
      </c>
      <c r="R93" s="5" t="str">
        <f t="shared" si="7"/>
        <v>Below Average</v>
      </c>
      <c r="S93" s="5" t="str">
        <f>Table1[[#This Row],[Quarter]]&amp;" - "&amp;Table1[[#This Row],[City]]</f>
        <v>Q1 - Mumbai</v>
      </c>
    </row>
    <row r="94" spans="1:19" x14ac:dyDescent="0.3">
      <c r="A94" t="s">
        <v>153</v>
      </c>
      <c r="B94" s="1">
        <v>45327</v>
      </c>
      <c r="C94" t="s">
        <v>135</v>
      </c>
      <c r="D94" t="s">
        <v>14</v>
      </c>
      <c r="E94" t="s">
        <v>34</v>
      </c>
      <c r="F94" t="s">
        <v>21</v>
      </c>
      <c r="G94" t="s">
        <v>94</v>
      </c>
      <c r="H94">
        <v>10</v>
      </c>
      <c r="I94">
        <v>3290</v>
      </c>
      <c r="J94">
        <v>20</v>
      </c>
      <c r="K94">
        <v>26320</v>
      </c>
      <c r="L94" t="s">
        <v>45</v>
      </c>
      <c r="M94" s="2">
        <f>Table1[[#This Row],[Revenue_INR]]-Table1[[#This Row],[Price_INR]]</f>
        <v>23030</v>
      </c>
      <c r="N94">
        <f>YEAR(Table1[[#This Row],[Date]])</f>
        <v>2024</v>
      </c>
      <c r="O94" s="2">
        <f t="shared" si="4"/>
        <v>2632</v>
      </c>
      <c r="P94" s="7">
        <f t="shared" si="5"/>
        <v>87.5</v>
      </c>
      <c r="Q94" s="2">
        <f t="shared" si="6"/>
        <v>6580</v>
      </c>
      <c r="R94" s="5" t="str">
        <f t="shared" si="7"/>
        <v>Above Average</v>
      </c>
      <c r="S94" s="5" t="str">
        <f>Table1[[#This Row],[Quarter]]&amp;" - "&amp;Table1[[#This Row],[City]]</f>
        <v>Q1 - Delhi</v>
      </c>
    </row>
    <row r="95" spans="1:19" x14ac:dyDescent="0.3">
      <c r="A95" t="s">
        <v>154</v>
      </c>
      <c r="B95" s="1">
        <v>45328</v>
      </c>
      <c r="C95" t="s">
        <v>135</v>
      </c>
      <c r="D95" t="s">
        <v>14</v>
      </c>
      <c r="E95" t="s">
        <v>15</v>
      </c>
      <c r="F95" t="s">
        <v>26</v>
      </c>
      <c r="G95" t="s">
        <v>27</v>
      </c>
      <c r="H95">
        <v>4</v>
      </c>
      <c r="I95">
        <v>2060</v>
      </c>
      <c r="J95">
        <v>20</v>
      </c>
      <c r="K95">
        <v>6592</v>
      </c>
      <c r="L95" t="s">
        <v>92</v>
      </c>
      <c r="M95" s="2">
        <f>Table1[[#This Row],[Revenue_INR]]-Table1[[#This Row],[Price_INR]]</f>
        <v>4532</v>
      </c>
      <c r="N95">
        <f>YEAR(Table1[[#This Row],[Date]])</f>
        <v>2024</v>
      </c>
      <c r="O95" s="2">
        <f t="shared" si="4"/>
        <v>1648</v>
      </c>
      <c r="P95" s="7">
        <f t="shared" si="5"/>
        <v>68.75</v>
      </c>
      <c r="Q95" s="2">
        <f t="shared" si="6"/>
        <v>1648</v>
      </c>
      <c r="R95" s="5" t="str">
        <f t="shared" si="7"/>
        <v>Below Average</v>
      </c>
      <c r="S95" s="5" t="str">
        <f>Table1[[#This Row],[Quarter]]&amp;" - "&amp;Table1[[#This Row],[City]]</f>
        <v>Q1 - Kolkata</v>
      </c>
    </row>
    <row r="96" spans="1:19" x14ac:dyDescent="0.3">
      <c r="A96" t="s">
        <v>155</v>
      </c>
      <c r="B96" s="1">
        <v>45329</v>
      </c>
      <c r="C96" t="s">
        <v>135</v>
      </c>
      <c r="D96" t="s">
        <v>14</v>
      </c>
      <c r="E96" t="s">
        <v>15</v>
      </c>
      <c r="F96" t="s">
        <v>47</v>
      </c>
      <c r="G96" t="s">
        <v>55</v>
      </c>
      <c r="H96">
        <v>6</v>
      </c>
      <c r="I96">
        <v>2880</v>
      </c>
      <c r="J96">
        <v>25</v>
      </c>
      <c r="K96">
        <v>12960</v>
      </c>
      <c r="L96" t="s">
        <v>53</v>
      </c>
      <c r="M96" s="2">
        <f>Table1[[#This Row],[Revenue_INR]]-Table1[[#This Row],[Price_INR]]</f>
        <v>10080</v>
      </c>
      <c r="N96">
        <f>YEAR(Table1[[#This Row],[Date]])</f>
        <v>2024</v>
      </c>
      <c r="O96" s="2">
        <f t="shared" si="4"/>
        <v>2160</v>
      </c>
      <c r="P96" s="7">
        <f t="shared" si="5"/>
        <v>77.777777777777786</v>
      </c>
      <c r="Q96" s="2">
        <f t="shared" si="6"/>
        <v>4320</v>
      </c>
      <c r="R96" s="5" t="str">
        <f t="shared" si="7"/>
        <v>Below Average</v>
      </c>
      <c r="S96" s="5" t="str">
        <f>Table1[[#This Row],[Quarter]]&amp;" - "&amp;Table1[[#This Row],[City]]</f>
        <v>Q1 - Kolkata</v>
      </c>
    </row>
    <row r="97" spans="1:19" x14ac:dyDescent="0.3">
      <c r="A97" t="s">
        <v>156</v>
      </c>
      <c r="B97" s="1">
        <v>45329</v>
      </c>
      <c r="C97" t="s">
        <v>135</v>
      </c>
      <c r="D97" t="s">
        <v>14</v>
      </c>
      <c r="E97" t="s">
        <v>25</v>
      </c>
      <c r="F97" t="s">
        <v>16</v>
      </c>
      <c r="G97" t="s">
        <v>41</v>
      </c>
      <c r="H97">
        <v>7</v>
      </c>
      <c r="I97">
        <v>2650</v>
      </c>
      <c r="J97">
        <v>5</v>
      </c>
      <c r="K97">
        <v>17622.5</v>
      </c>
      <c r="L97" t="s">
        <v>28</v>
      </c>
      <c r="M97" s="2">
        <f>Table1[[#This Row],[Revenue_INR]]-Table1[[#This Row],[Price_INR]]</f>
        <v>14972.5</v>
      </c>
      <c r="N97">
        <f>YEAR(Table1[[#This Row],[Date]])</f>
        <v>2024</v>
      </c>
      <c r="O97" s="2">
        <f t="shared" si="4"/>
        <v>2517.5</v>
      </c>
      <c r="P97" s="7">
        <f t="shared" si="5"/>
        <v>84.962406015037601</v>
      </c>
      <c r="Q97" s="2">
        <f t="shared" si="6"/>
        <v>927.5</v>
      </c>
      <c r="R97" s="5" t="str">
        <f t="shared" si="7"/>
        <v>Below Average</v>
      </c>
      <c r="S97" s="5" t="str">
        <f>Table1[[#This Row],[Quarter]]&amp;" - "&amp;Table1[[#This Row],[City]]</f>
        <v>Q1 - Hyderabad</v>
      </c>
    </row>
    <row r="98" spans="1:19" x14ac:dyDescent="0.3">
      <c r="A98" t="s">
        <v>157</v>
      </c>
      <c r="B98" s="1">
        <v>45329</v>
      </c>
      <c r="C98" t="s">
        <v>135</v>
      </c>
      <c r="D98" t="s">
        <v>14</v>
      </c>
      <c r="E98" t="s">
        <v>20</v>
      </c>
      <c r="F98" t="s">
        <v>60</v>
      </c>
      <c r="G98" t="s">
        <v>85</v>
      </c>
      <c r="H98">
        <v>10</v>
      </c>
      <c r="I98">
        <v>2470</v>
      </c>
      <c r="J98">
        <v>30</v>
      </c>
      <c r="K98">
        <v>17290</v>
      </c>
      <c r="L98" t="s">
        <v>23</v>
      </c>
      <c r="M98" s="2">
        <f>Table1[[#This Row],[Revenue_INR]]-Table1[[#This Row],[Price_INR]]</f>
        <v>14820</v>
      </c>
      <c r="N98">
        <f>YEAR(Table1[[#This Row],[Date]])</f>
        <v>2024</v>
      </c>
      <c r="O98" s="2">
        <f t="shared" si="4"/>
        <v>1729</v>
      </c>
      <c r="P98" s="7">
        <f t="shared" si="5"/>
        <v>85.714285714285708</v>
      </c>
      <c r="Q98" s="2">
        <f t="shared" si="6"/>
        <v>7410</v>
      </c>
      <c r="R98" s="5" t="str">
        <f t="shared" si="7"/>
        <v>Below Average</v>
      </c>
      <c r="S98" s="5" t="str">
        <f>Table1[[#This Row],[Quarter]]&amp;" - "&amp;Table1[[#This Row],[City]]</f>
        <v>Q1 - Mumbai</v>
      </c>
    </row>
    <row r="99" spans="1:19" x14ac:dyDescent="0.3">
      <c r="A99" t="s">
        <v>158</v>
      </c>
      <c r="B99" s="1">
        <v>45330</v>
      </c>
      <c r="C99" t="s">
        <v>135</v>
      </c>
      <c r="D99" t="s">
        <v>14</v>
      </c>
      <c r="E99" t="s">
        <v>34</v>
      </c>
      <c r="F99" t="s">
        <v>47</v>
      </c>
      <c r="G99" t="s">
        <v>48</v>
      </c>
      <c r="H99">
        <v>5</v>
      </c>
      <c r="I99">
        <v>4230</v>
      </c>
      <c r="J99">
        <v>5</v>
      </c>
      <c r="K99">
        <v>20092.5</v>
      </c>
      <c r="L99" t="s">
        <v>45</v>
      </c>
      <c r="M99" s="2">
        <f>Table1[[#This Row],[Revenue_INR]]-Table1[[#This Row],[Price_INR]]</f>
        <v>15862.5</v>
      </c>
      <c r="N99">
        <f>YEAR(Table1[[#This Row],[Date]])</f>
        <v>2024</v>
      </c>
      <c r="O99" s="2">
        <f t="shared" si="4"/>
        <v>4018.5</v>
      </c>
      <c r="P99" s="7">
        <f t="shared" si="5"/>
        <v>78.94736842105263</v>
      </c>
      <c r="Q99" s="2">
        <f t="shared" si="6"/>
        <v>1057.5</v>
      </c>
      <c r="R99" s="5" t="str">
        <f t="shared" si="7"/>
        <v>Below Average</v>
      </c>
      <c r="S99" s="5" t="str">
        <f>Table1[[#This Row],[Quarter]]&amp;" - "&amp;Table1[[#This Row],[City]]</f>
        <v>Q1 - Delhi</v>
      </c>
    </row>
    <row r="100" spans="1:19" x14ac:dyDescent="0.3">
      <c r="A100" t="s">
        <v>159</v>
      </c>
      <c r="B100" s="1">
        <v>45330</v>
      </c>
      <c r="C100" t="s">
        <v>135</v>
      </c>
      <c r="D100" t="s">
        <v>14</v>
      </c>
      <c r="E100" t="s">
        <v>34</v>
      </c>
      <c r="F100" t="s">
        <v>60</v>
      </c>
      <c r="G100" t="s">
        <v>124</v>
      </c>
      <c r="H100">
        <v>14</v>
      </c>
      <c r="I100">
        <v>1880</v>
      </c>
      <c r="J100">
        <v>10</v>
      </c>
      <c r="K100">
        <v>23688</v>
      </c>
      <c r="L100" t="s">
        <v>36</v>
      </c>
      <c r="M100" s="2">
        <f>Table1[[#This Row],[Revenue_INR]]-Table1[[#This Row],[Price_INR]]</f>
        <v>21808</v>
      </c>
      <c r="N100">
        <f>YEAR(Table1[[#This Row],[Date]])</f>
        <v>2024</v>
      </c>
      <c r="O100" s="2">
        <f t="shared" si="4"/>
        <v>1692</v>
      </c>
      <c r="P100" s="7">
        <f t="shared" si="5"/>
        <v>92.063492063492063</v>
      </c>
      <c r="Q100" s="2">
        <f t="shared" si="6"/>
        <v>2632</v>
      </c>
      <c r="R100" s="5" t="str">
        <f t="shared" si="7"/>
        <v>Below Average</v>
      </c>
      <c r="S100" s="5" t="str">
        <f>Table1[[#This Row],[Quarter]]&amp;" - "&amp;Table1[[#This Row],[City]]</f>
        <v>Q1 - Delhi</v>
      </c>
    </row>
    <row r="101" spans="1:19" x14ac:dyDescent="0.3">
      <c r="A101" t="s">
        <v>160</v>
      </c>
      <c r="B101" s="1">
        <v>45330</v>
      </c>
      <c r="C101" t="s">
        <v>135</v>
      </c>
      <c r="D101" t="s">
        <v>14</v>
      </c>
      <c r="E101" t="s">
        <v>15</v>
      </c>
      <c r="F101" t="s">
        <v>21</v>
      </c>
      <c r="G101" t="s">
        <v>94</v>
      </c>
      <c r="H101">
        <v>7</v>
      </c>
      <c r="I101">
        <v>2490</v>
      </c>
      <c r="J101">
        <v>15</v>
      </c>
      <c r="K101">
        <v>14815.5</v>
      </c>
      <c r="L101" t="s">
        <v>18</v>
      </c>
      <c r="M101" s="2">
        <f>Table1[[#This Row],[Revenue_INR]]-Table1[[#This Row],[Price_INR]]</f>
        <v>12325.5</v>
      </c>
      <c r="N101">
        <f>YEAR(Table1[[#This Row],[Date]])</f>
        <v>2024</v>
      </c>
      <c r="O101" s="2">
        <f t="shared" si="4"/>
        <v>2116.5</v>
      </c>
      <c r="P101" s="7">
        <f t="shared" si="5"/>
        <v>83.193277310924373</v>
      </c>
      <c r="Q101" s="2">
        <f t="shared" si="6"/>
        <v>2614.5</v>
      </c>
      <c r="R101" s="5" t="str">
        <f t="shared" si="7"/>
        <v>Below Average</v>
      </c>
      <c r="S101" s="5" t="str">
        <f>Table1[[#This Row],[Quarter]]&amp;" - "&amp;Table1[[#This Row],[City]]</f>
        <v>Q1 - Kolkata</v>
      </c>
    </row>
    <row r="102" spans="1:19" x14ac:dyDescent="0.3">
      <c r="A102" t="s">
        <v>161</v>
      </c>
      <c r="B102" s="1">
        <v>45331</v>
      </c>
      <c r="C102" t="s">
        <v>135</v>
      </c>
      <c r="D102" t="s">
        <v>14</v>
      </c>
      <c r="E102" t="s">
        <v>25</v>
      </c>
      <c r="F102" t="s">
        <v>31</v>
      </c>
      <c r="G102" t="s">
        <v>35</v>
      </c>
      <c r="H102">
        <v>3</v>
      </c>
      <c r="I102">
        <v>1960</v>
      </c>
      <c r="J102">
        <v>5</v>
      </c>
      <c r="K102">
        <v>5586</v>
      </c>
      <c r="L102" t="s">
        <v>28</v>
      </c>
      <c r="M102" s="2">
        <f>Table1[[#This Row],[Revenue_INR]]-Table1[[#This Row],[Price_INR]]</f>
        <v>3626</v>
      </c>
      <c r="N102">
        <f>YEAR(Table1[[#This Row],[Date]])</f>
        <v>2024</v>
      </c>
      <c r="O102" s="2">
        <f t="shared" si="4"/>
        <v>1862</v>
      </c>
      <c r="P102" s="7">
        <f t="shared" si="5"/>
        <v>64.912280701754383</v>
      </c>
      <c r="Q102" s="2">
        <f t="shared" si="6"/>
        <v>294</v>
      </c>
      <c r="R102" s="5" t="str">
        <f t="shared" si="7"/>
        <v>Below Average</v>
      </c>
      <c r="S102" s="5" t="str">
        <f>Table1[[#This Row],[Quarter]]&amp;" - "&amp;Table1[[#This Row],[City]]</f>
        <v>Q1 - Hyderabad</v>
      </c>
    </row>
    <row r="103" spans="1:19" x14ac:dyDescent="0.3">
      <c r="A103" t="s">
        <v>162</v>
      </c>
      <c r="B103" s="1">
        <v>45331</v>
      </c>
      <c r="C103" t="s">
        <v>135</v>
      </c>
      <c r="D103" t="s">
        <v>14</v>
      </c>
      <c r="E103" t="s">
        <v>34</v>
      </c>
      <c r="F103" t="s">
        <v>26</v>
      </c>
      <c r="G103" t="s">
        <v>80</v>
      </c>
      <c r="H103">
        <v>14</v>
      </c>
      <c r="I103">
        <v>9940</v>
      </c>
      <c r="J103">
        <v>10</v>
      </c>
      <c r="K103">
        <v>125244</v>
      </c>
      <c r="L103" t="s">
        <v>45</v>
      </c>
      <c r="M103" s="2">
        <f>Table1[[#This Row],[Revenue_INR]]-Table1[[#This Row],[Price_INR]]</f>
        <v>115304</v>
      </c>
      <c r="N103">
        <f>YEAR(Table1[[#This Row],[Date]])</f>
        <v>2024</v>
      </c>
      <c r="O103" s="2">
        <f t="shared" si="4"/>
        <v>8946</v>
      </c>
      <c r="P103" s="7">
        <f t="shared" si="5"/>
        <v>92.063492063492063</v>
      </c>
      <c r="Q103" s="2">
        <f t="shared" si="6"/>
        <v>13916</v>
      </c>
      <c r="R103" s="5" t="str">
        <f t="shared" si="7"/>
        <v>Above Average</v>
      </c>
      <c r="S103" s="5" t="str">
        <f>Table1[[#This Row],[Quarter]]&amp;" - "&amp;Table1[[#This Row],[City]]</f>
        <v>Q1 - Delhi</v>
      </c>
    </row>
    <row r="104" spans="1:19" x14ac:dyDescent="0.3">
      <c r="A104" t="s">
        <v>163</v>
      </c>
      <c r="B104" s="1">
        <v>45332</v>
      </c>
      <c r="C104" t="s">
        <v>135</v>
      </c>
      <c r="D104" t="s">
        <v>14</v>
      </c>
      <c r="E104" t="s">
        <v>25</v>
      </c>
      <c r="F104" t="s">
        <v>16</v>
      </c>
      <c r="G104" t="s">
        <v>44</v>
      </c>
      <c r="H104">
        <v>4</v>
      </c>
      <c r="I104">
        <v>1130</v>
      </c>
      <c r="J104">
        <v>5</v>
      </c>
      <c r="K104">
        <v>4294</v>
      </c>
      <c r="L104" t="s">
        <v>28</v>
      </c>
      <c r="M104" s="2">
        <f>Table1[[#This Row],[Revenue_INR]]-Table1[[#This Row],[Price_INR]]</f>
        <v>3164</v>
      </c>
      <c r="N104">
        <f>YEAR(Table1[[#This Row],[Date]])</f>
        <v>2024</v>
      </c>
      <c r="O104" s="2">
        <f t="shared" si="4"/>
        <v>1073.5</v>
      </c>
      <c r="P104" s="7">
        <f t="shared" si="5"/>
        <v>73.68421052631578</v>
      </c>
      <c r="Q104" s="2">
        <f t="shared" si="6"/>
        <v>226</v>
      </c>
      <c r="R104" s="5" t="str">
        <f t="shared" si="7"/>
        <v>Below Average</v>
      </c>
      <c r="S104" s="5" t="str">
        <f>Table1[[#This Row],[Quarter]]&amp;" - "&amp;Table1[[#This Row],[City]]</f>
        <v>Q1 - Hyderabad</v>
      </c>
    </row>
    <row r="105" spans="1:19" x14ac:dyDescent="0.3">
      <c r="A105" t="s">
        <v>164</v>
      </c>
      <c r="B105" s="1">
        <v>45332</v>
      </c>
      <c r="C105" t="s">
        <v>135</v>
      </c>
      <c r="D105" t="s">
        <v>14</v>
      </c>
      <c r="E105" t="s">
        <v>34</v>
      </c>
      <c r="F105" t="s">
        <v>47</v>
      </c>
      <c r="G105" t="s">
        <v>51</v>
      </c>
      <c r="H105">
        <v>12</v>
      </c>
      <c r="I105">
        <v>7530</v>
      </c>
      <c r="J105">
        <v>25</v>
      </c>
      <c r="K105">
        <v>67770</v>
      </c>
      <c r="L105" t="s">
        <v>36</v>
      </c>
      <c r="M105" s="2">
        <f>Table1[[#This Row],[Revenue_INR]]-Table1[[#This Row],[Price_INR]]</f>
        <v>60240</v>
      </c>
      <c r="N105">
        <f>YEAR(Table1[[#This Row],[Date]])</f>
        <v>2024</v>
      </c>
      <c r="O105" s="2">
        <f t="shared" si="4"/>
        <v>5647.5</v>
      </c>
      <c r="P105" s="7">
        <f t="shared" si="5"/>
        <v>88.888888888888886</v>
      </c>
      <c r="Q105" s="2">
        <f t="shared" si="6"/>
        <v>22590</v>
      </c>
      <c r="R105" s="5" t="str">
        <f t="shared" si="7"/>
        <v>Above Average</v>
      </c>
      <c r="S105" s="5" t="str">
        <f>Table1[[#This Row],[Quarter]]&amp;" - "&amp;Table1[[#This Row],[City]]</f>
        <v>Q1 - Delhi</v>
      </c>
    </row>
    <row r="106" spans="1:19" x14ac:dyDescent="0.3">
      <c r="A106" t="s">
        <v>165</v>
      </c>
      <c r="B106" s="1">
        <v>45333</v>
      </c>
      <c r="C106" t="s">
        <v>135</v>
      </c>
      <c r="D106" t="s">
        <v>14</v>
      </c>
      <c r="E106" t="s">
        <v>25</v>
      </c>
      <c r="F106" t="s">
        <v>60</v>
      </c>
      <c r="G106" t="s">
        <v>124</v>
      </c>
      <c r="H106">
        <v>1</v>
      </c>
      <c r="I106">
        <v>2080</v>
      </c>
      <c r="J106">
        <v>15</v>
      </c>
      <c r="K106">
        <v>1768</v>
      </c>
      <c r="L106" t="s">
        <v>42</v>
      </c>
      <c r="M106" s="2">
        <f>Table1[[#This Row],[Revenue_INR]]-Table1[[#This Row],[Price_INR]]</f>
        <v>-312</v>
      </c>
      <c r="N106">
        <f>YEAR(Table1[[#This Row],[Date]])</f>
        <v>2024</v>
      </c>
      <c r="O106" s="2">
        <f t="shared" si="4"/>
        <v>1768</v>
      </c>
      <c r="P106" s="7">
        <f t="shared" si="5"/>
        <v>-17.647058823529413</v>
      </c>
      <c r="Q106" s="2">
        <f t="shared" si="6"/>
        <v>312</v>
      </c>
      <c r="R106" s="5" t="str">
        <f t="shared" si="7"/>
        <v>Below Average</v>
      </c>
      <c r="S106" s="5" t="str">
        <f>Table1[[#This Row],[Quarter]]&amp;" - "&amp;Table1[[#This Row],[City]]</f>
        <v>Q1 - Hyderabad</v>
      </c>
    </row>
    <row r="107" spans="1:19" x14ac:dyDescent="0.3">
      <c r="A107" t="s">
        <v>166</v>
      </c>
      <c r="B107" s="1">
        <v>45333</v>
      </c>
      <c r="C107" t="s">
        <v>135</v>
      </c>
      <c r="D107" t="s">
        <v>14</v>
      </c>
      <c r="E107" t="s">
        <v>25</v>
      </c>
      <c r="F107" t="s">
        <v>16</v>
      </c>
      <c r="G107" t="s">
        <v>44</v>
      </c>
      <c r="H107">
        <v>14</v>
      </c>
      <c r="I107">
        <v>1110</v>
      </c>
      <c r="J107">
        <v>30</v>
      </c>
      <c r="K107">
        <v>10878</v>
      </c>
      <c r="L107" t="s">
        <v>66</v>
      </c>
      <c r="M107" s="2">
        <f>Table1[[#This Row],[Revenue_INR]]-Table1[[#This Row],[Price_INR]]</f>
        <v>9768</v>
      </c>
      <c r="N107">
        <f>YEAR(Table1[[#This Row],[Date]])</f>
        <v>2024</v>
      </c>
      <c r="O107" s="2">
        <f t="shared" si="4"/>
        <v>777</v>
      </c>
      <c r="P107" s="7">
        <f t="shared" si="5"/>
        <v>89.795918367346943</v>
      </c>
      <c r="Q107" s="2">
        <f t="shared" si="6"/>
        <v>4662</v>
      </c>
      <c r="R107" s="5" t="str">
        <f t="shared" si="7"/>
        <v>Below Average</v>
      </c>
      <c r="S107" s="5" t="str">
        <f>Table1[[#This Row],[Quarter]]&amp;" - "&amp;Table1[[#This Row],[City]]</f>
        <v>Q1 - Hyderabad</v>
      </c>
    </row>
    <row r="108" spans="1:19" x14ac:dyDescent="0.3">
      <c r="A108" t="s">
        <v>167</v>
      </c>
      <c r="B108" s="1">
        <v>45334</v>
      </c>
      <c r="C108" t="s">
        <v>135</v>
      </c>
      <c r="D108" t="s">
        <v>14</v>
      </c>
      <c r="E108" t="s">
        <v>20</v>
      </c>
      <c r="F108" t="s">
        <v>47</v>
      </c>
      <c r="G108" t="s">
        <v>51</v>
      </c>
      <c r="H108">
        <v>13</v>
      </c>
      <c r="I108">
        <v>3780</v>
      </c>
      <c r="J108">
        <v>5</v>
      </c>
      <c r="K108">
        <v>46683</v>
      </c>
      <c r="L108" t="s">
        <v>23</v>
      </c>
      <c r="M108" s="2">
        <f>Table1[[#This Row],[Revenue_INR]]-Table1[[#This Row],[Price_INR]]</f>
        <v>42903</v>
      </c>
      <c r="N108">
        <f>YEAR(Table1[[#This Row],[Date]])</f>
        <v>2024</v>
      </c>
      <c r="O108" s="2">
        <f t="shared" si="4"/>
        <v>3591</v>
      </c>
      <c r="P108" s="7">
        <f t="shared" si="5"/>
        <v>91.902834008097173</v>
      </c>
      <c r="Q108" s="2">
        <f t="shared" si="6"/>
        <v>2457</v>
      </c>
      <c r="R108" s="5" t="str">
        <f t="shared" si="7"/>
        <v>Above Average</v>
      </c>
      <c r="S108" s="5" t="str">
        <f>Table1[[#This Row],[Quarter]]&amp;" - "&amp;Table1[[#This Row],[City]]</f>
        <v>Q1 - Mumbai</v>
      </c>
    </row>
    <row r="109" spans="1:19" x14ac:dyDescent="0.3">
      <c r="A109" t="s">
        <v>168</v>
      </c>
      <c r="B109" s="1">
        <v>45334</v>
      </c>
      <c r="C109" t="s">
        <v>135</v>
      </c>
      <c r="D109" t="s">
        <v>14</v>
      </c>
      <c r="E109" t="s">
        <v>20</v>
      </c>
      <c r="F109" t="s">
        <v>26</v>
      </c>
      <c r="G109" t="s">
        <v>27</v>
      </c>
      <c r="H109">
        <v>12</v>
      </c>
      <c r="I109">
        <v>10680</v>
      </c>
      <c r="J109">
        <v>0</v>
      </c>
      <c r="K109">
        <v>128160</v>
      </c>
      <c r="L109" t="s">
        <v>23</v>
      </c>
      <c r="M109" s="2">
        <f>Table1[[#This Row],[Revenue_INR]]-Table1[[#This Row],[Price_INR]]</f>
        <v>117480</v>
      </c>
      <c r="N109">
        <f>YEAR(Table1[[#This Row],[Date]])</f>
        <v>2024</v>
      </c>
      <c r="O109" s="2">
        <f t="shared" si="4"/>
        <v>10680</v>
      </c>
      <c r="P109" s="7">
        <f t="shared" si="5"/>
        <v>91.666666666666657</v>
      </c>
      <c r="Q109" s="2">
        <f t="shared" si="6"/>
        <v>0</v>
      </c>
      <c r="R109" s="5" t="str">
        <f t="shared" si="7"/>
        <v>Above Average</v>
      </c>
      <c r="S109" s="5" t="str">
        <f>Table1[[#This Row],[Quarter]]&amp;" - "&amp;Table1[[#This Row],[City]]</f>
        <v>Q1 - Mumbai</v>
      </c>
    </row>
    <row r="110" spans="1:19" x14ac:dyDescent="0.3">
      <c r="A110" t="s">
        <v>169</v>
      </c>
      <c r="B110" s="1">
        <v>45334</v>
      </c>
      <c r="C110" t="s">
        <v>135</v>
      </c>
      <c r="D110" t="s">
        <v>14</v>
      </c>
      <c r="E110" t="s">
        <v>15</v>
      </c>
      <c r="F110" t="s">
        <v>26</v>
      </c>
      <c r="G110" t="s">
        <v>80</v>
      </c>
      <c r="H110">
        <v>7</v>
      </c>
      <c r="I110">
        <v>1800</v>
      </c>
      <c r="J110">
        <v>20</v>
      </c>
      <c r="K110">
        <v>10080</v>
      </c>
      <c r="L110" t="s">
        <v>92</v>
      </c>
      <c r="M110" s="2">
        <f>Table1[[#This Row],[Revenue_INR]]-Table1[[#This Row],[Price_INR]]</f>
        <v>8280</v>
      </c>
      <c r="N110">
        <f>YEAR(Table1[[#This Row],[Date]])</f>
        <v>2024</v>
      </c>
      <c r="O110" s="2">
        <f t="shared" si="4"/>
        <v>1440</v>
      </c>
      <c r="P110" s="7">
        <f t="shared" si="5"/>
        <v>82.142857142857139</v>
      </c>
      <c r="Q110" s="2">
        <f t="shared" si="6"/>
        <v>2520</v>
      </c>
      <c r="R110" s="5" t="str">
        <f t="shared" si="7"/>
        <v>Below Average</v>
      </c>
      <c r="S110" s="5" t="str">
        <f>Table1[[#This Row],[Quarter]]&amp;" - "&amp;Table1[[#This Row],[City]]</f>
        <v>Q1 - Kolkata</v>
      </c>
    </row>
    <row r="111" spans="1:19" x14ac:dyDescent="0.3">
      <c r="A111" t="s">
        <v>170</v>
      </c>
      <c r="B111" s="1">
        <v>45335</v>
      </c>
      <c r="C111" t="s">
        <v>135</v>
      </c>
      <c r="D111" t="s">
        <v>14</v>
      </c>
      <c r="E111" t="s">
        <v>25</v>
      </c>
      <c r="F111" t="s">
        <v>31</v>
      </c>
      <c r="G111" t="s">
        <v>131</v>
      </c>
      <c r="H111">
        <v>5</v>
      </c>
      <c r="I111">
        <v>3410</v>
      </c>
      <c r="J111">
        <v>15</v>
      </c>
      <c r="K111">
        <v>14492.5</v>
      </c>
      <c r="L111" t="s">
        <v>42</v>
      </c>
      <c r="M111" s="2">
        <f>Table1[[#This Row],[Revenue_INR]]-Table1[[#This Row],[Price_INR]]</f>
        <v>11082.5</v>
      </c>
      <c r="N111">
        <f>YEAR(Table1[[#This Row],[Date]])</f>
        <v>2024</v>
      </c>
      <c r="O111" s="2">
        <f t="shared" si="4"/>
        <v>2898.5</v>
      </c>
      <c r="P111" s="7">
        <f t="shared" si="5"/>
        <v>76.470588235294116</v>
      </c>
      <c r="Q111" s="2">
        <f t="shared" si="6"/>
        <v>2557.5</v>
      </c>
      <c r="R111" s="5" t="str">
        <f t="shared" si="7"/>
        <v>Below Average</v>
      </c>
      <c r="S111" s="5" t="str">
        <f>Table1[[#This Row],[Quarter]]&amp;" - "&amp;Table1[[#This Row],[City]]</f>
        <v>Q1 - Hyderabad</v>
      </c>
    </row>
    <row r="112" spans="1:19" x14ac:dyDescent="0.3">
      <c r="A112" t="s">
        <v>171</v>
      </c>
      <c r="B112" s="1">
        <v>45335</v>
      </c>
      <c r="C112" t="s">
        <v>135</v>
      </c>
      <c r="D112" t="s">
        <v>14</v>
      </c>
      <c r="E112" t="s">
        <v>20</v>
      </c>
      <c r="F112" t="s">
        <v>60</v>
      </c>
      <c r="G112" t="s">
        <v>61</v>
      </c>
      <c r="H112">
        <v>11</v>
      </c>
      <c r="I112">
        <v>1940</v>
      </c>
      <c r="J112">
        <v>10</v>
      </c>
      <c r="K112">
        <v>19206</v>
      </c>
      <c r="L112" t="s">
        <v>77</v>
      </c>
      <c r="M112" s="2">
        <f>Table1[[#This Row],[Revenue_INR]]-Table1[[#This Row],[Price_INR]]</f>
        <v>17266</v>
      </c>
      <c r="N112">
        <f>YEAR(Table1[[#This Row],[Date]])</f>
        <v>2024</v>
      </c>
      <c r="O112" s="2">
        <f t="shared" si="4"/>
        <v>1746</v>
      </c>
      <c r="P112" s="7">
        <f t="shared" si="5"/>
        <v>89.898989898989896</v>
      </c>
      <c r="Q112" s="2">
        <f t="shared" si="6"/>
        <v>2134</v>
      </c>
      <c r="R112" s="5" t="str">
        <f t="shared" si="7"/>
        <v>Below Average</v>
      </c>
      <c r="S112" s="5" t="str">
        <f>Table1[[#This Row],[Quarter]]&amp;" - "&amp;Table1[[#This Row],[City]]</f>
        <v>Q1 - Mumbai</v>
      </c>
    </row>
    <row r="113" spans="1:19" x14ac:dyDescent="0.3">
      <c r="A113" t="s">
        <v>172</v>
      </c>
      <c r="B113" s="1">
        <v>45336</v>
      </c>
      <c r="C113" t="s">
        <v>135</v>
      </c>
      <c r="D113" t="s">
        <v>14</v>
      </c>
      <c r="E113" t="s">
        <v>25</v>
      </c>
      <c r="F113" t="s">
        <v>21</v>
      </c>
      <c r="G113" t="s">
        <v>71</v>
      </c>
      <c r="H113">
        <v>9</v>
      </c>
      <c r="I113">
        <v>3030</v>
      </c>
      <c r="J113">
        <v>10</v>
      </c>
      <c r="K113">
        <v>24543</v>
      </c>
      <c r="L113" t="s">
        <v>28</v>
      </c>
      <c r="M113" s="2">
        <f>Table1[[#This Row],[Revenue_INR]]-Table1[[#This Row],[Price_INR]]</f>
        <v>21513</v>
      </c>
      <c r="N113">
        <f>YEAR(Table1[[#This Row],[Date]])</f>
        <v>2024</v>
      </c>
      <c r="O113" s="2">
        <f t="shared" si="4"/>
        <v>2727</v>
      </c>
      <c r="P113" s="7">
        <f t="shared" si="5"/>
        <v>87.654320987654316</v>
      </c>
      <c r="Q113" s="2">
        <f t="shared" si="6"/>
        <v>2727</v>
      </c>
      <c r="R113" s="5" t="str">
        <f t="shared" si="7"/>
        <v>Above Average</v>
      </c>
      <c r="S113" s="5" t="str">
        <f>Table1[[#This Row],[Quarter]]&amp;" - "&amp;Table1[[#This Row],[City]]</f>
        <v>Q1 - Hyderabad</v>
      </c>
    </row>
    <row r="114" spans="1:19" x14ac:dyDescent="0.3">
      <c r="A114" t="s">
        <v>173</v>
      </c>
      <c r="B114" s="1">
        <v>45336</v>
      </c>
      <c r="C114" t="s">
        <v>135</v>
      </c>
      <c r="D114" t="s">
        <v>14</v>
      </c>
      <c r="E114" t="s">
        <v>34</v>
      </c>
      <c r="F114" t="s">
        <v>60</v>
      </c>
      <c r="G114" t="s">
        <v>124</v>
      </c>
      <c r="H114">
        <v>14</v>
      </c>
      <c r="I114">
        <v>1100</v>
      </c>
      <c r="J114">
        <v>30</v>
      </c>
      <c r="K114">
        <v>10780</v>
      </c>
      <c r="L114" t="s">
        <v>49</v>
      </c>
      <c r="M114" s="2">
        <f>Table1[[#This Row],[Revenue_INR]]-Table1[[#This Row],[Price_INR]]</f>
        <v>9680</v>
      </c>
      <c r="N114">
        <f>YEAR(Table1[[#This Row],[Date]])</f>
        <v>2024</v>
      </c>
      <c r="O114" s="2">
        <f t="shared" si="4"/>
        <v>770</v>
      </c>
      <c r="P114" s="7">
        <f t="shared" si="5"/>
        <v>89.795918367346943</v>
      </c>
      <c r="Q114" s="2">
        <f t="shared" si="6"/>
        <v>4620</v>
      </c>
      <c r="R114" s="5" t="str">
        <f t="shared" si="7"/>
        <v>Below Average</v>
      </c>
      <c r="S114" s="5" t="str">
        <f>Table1[[#This Row],[Quarter]]&amp;" - "&amp;Table1[[#This Row],[City]]</f>
        <v>Q1 - Delhi</v>
      </c>
    </row>
    <row r="115" spans="1:19" x14ac:dyDescent="0.3">
      <c r="A115" t="s">
        <v>174</v>
      </c>
      <c r="B115" s="1">
        <v>45336</v>
      </c>
      <c r="C115" t="s">
        <v>135</v>
      </c>
      <c r="D115" t="s">
        <v>14</v>
      </c>
      <c r="E115" t="s">
        <v>20</v>
      </c>
      <c r="F115" t="s">
        <v>31</v>
      </c>
      <c r="G115" t="s">
        <v>131</v>
      </c>
      <c r="H115">
        <v>10</v>
      </c>
      <c r="I115">
        <v>4430</v>
      </c>
      <c r="J115">
        <v>30</v>
      </c>
      <c r="K115">
        <v>31010</v>
      </c>
      <c r="L115" t="s">
        <v>23</v>
      </c>
      <c r="M115" s="2">
        <f>Table1[[#This Row],[Revenue_INR]]-Table1[[#This Row],[Price_INR]]</f>
        <v>26580</v>
      </c>
      <c r="N115">
        <f>YEAR(Table1[[#This Row],[Date]])</f>
        <v>2024</v>
      </c>
      <c r="O115" s="2">
        <f t="shared" si="4"/>
        <v>3101</v>
      </c>
      <c r="P115" s="7">
        <f t="shared" si="5"/>
        <v>85.714285714285708</v>
      </c>
      <c r="Q115" s="2">
        <f t="shared" si="6"/>
        <v>13290</v>
      </c>
      <c r="R115" s="5" t="str">
        <f t="shared" si="7"/>
        <v>Above Average</v>
      </c>
      <c r="S115" s="5" t="str">
        <f>Table1[[#This Row],[Quarter]]&amp;" - "&amp;Table1[[#This Row],[City]]</f>
        <v>Q1 - Mumbai</v>
      </c>
    </row>
    <row r="116" spans="1:19" x14ac:dyDescent="0.3">
      <c r="A116" t="s">
        <v>175</v>
      </c>
      <c r="B116" s="1">
        <v>45337</v>
      </c>
      <c r="C116" t="s">
        <v>135</v>
      </c>
      <c r="D116" t="s">
        <v>14</v>
      </c>
      <c r="E116" t="s">
        <v>25</v>
      </c>
      <c r="F116" t="s">
        <v>31</v>
      </c>
      <c r="G116" t="s">
        <v>38</v>
      </c>
      <c r="H116">
        <v>1</v>
      </c>
      <c r="I116">
        <v>2430</v>
      </c>
      <c r="J116">
        <v>30</v>
      </c>
      <c r="K116">
        <v>1701</v>
      </c>
      <c r="L116" t="s">
        <v>66</v>
      </c>
      <c r="M116" s="2">
        <f>Table1[[#This Row],[Revenue_INR]]-Table1[[#This Row],[Price_INR]]</f>
        <v>-729</v>
      </c>
      <c r="N116">
        <f>YEAR(Table1[[#This Row],[Date]])</f>
        <v>2024</v>
      </c>
      <c r="O116" s="2">
        <f t="shared" si="4"/>
        <v>1701</v>
      </c>
      <c r="P116" s="7">
        <f t="shared" si="5"/>
        <v>-42.857142857142854</v>
      </c>
      <c r="Q116" s="2">
        <f t="shared" si="6"/>
        <v>729</v>
      </c>
      <c r="R116" s="5" t="str">
        <f t="shared" si="7"/>
        <v>Below Average</v>
      </c>
      <c r="S116" s="5" t="str">
        <f>Table1[[#This Row],[Quarter]]&amp;" - "&amp;Table1[[#This Row],[City]]</f>
        <v>Q1 - Hyderabad</v>
      </c>
    </row>
    <row r="117" spans="1:19" x14ac:dyDescent="0.3">
      <c r="A117" t="s">
        <v>176</v>
      </c>
      <c r="B117" s="1">
        <v>45337</v>
      </c>
      <c r="C117" t="s">
        <v>135</v>
      </c>
      <c r="D117" t="s">
        <v>14</v>
      </c>
      <c r="E117" t="s">
        <v>20</v>
      </c>
      <c r="F117" t="s">
        <v>31</v>
      </c>
      <c r="G117" t="s">
        <v>35</v>
      </c>
      <c r="H117">
        <v>15</v>
      </c>
      <c r="I117">
        <v>2620</v>
      </c>
      <c r="J117">
        <v>20</v>
      </c>
      <c r="K117">
        <v>31440</v>
      </c>
      <c r="L117" t="s">
        <v>39</v>
      </c>
      <c r="M117" s="2">
        <f>Table1[[#This Row],[Revenue_INR]]-Table1[[#This Row],[Price_INR]]</f>
        <v>28820</v>
      </c>
      <c r="N117">
        <f>YEAR(Table1[[#This Row],[Date]])</f>
        <v>2024</v>
      </c>
      <c r="O117" s="2">
        <f t="shared" si="4"/>
        <v>2096</v>
      </c>
      <c r="P117" s="7">
        <f t="shared" si="5"/>
        <v>91.666666666666657</v>
      </c>
      <c r="Q117" s="2">
        <f t="shared" si="6"/>
        <v>7860</v>
      </c>
      <c r="R117" s="5" t="str">
        <f t="shared" si="7"/>
        <v>Above Average</v>
      </c>
      <c r="S117" s="5" t="str">
        <f>Table1[[#This Row],[Quarter]]&amp;" - "&amp;Table1[[#This Row],[City]]</f>
        <v>Q1 - Mumbai</v>
      </c>
    </row>
    <row r="118" spans="1:19" x14ac:dyDescent="0.3">
      <c r="A118" t="s">
        <v>177</v>
      </c>
      <c r="B118" s="1">
        <v>45338</v>
      </c>
      <c r="C118" t="s">
        <v>135</v>
      </c>
      <c r="D118" t="s">
        <v>14</v>
      </c>
      <c r="E118" t="s">
        <v>20</v>
      </c>
      <c r="F118" t="s">
        <v>21</v>
      </c>
      <c r="G118" t="s">
        <v>71</v>
      </c>
      <c r="H118">
        <v>1</v>
      </c>
      <c r="I118">
        <v>3400</v>
      </c>
      <c r="J118">
        <v>30</v>
      </c>
      <c r="K118">
        <v>2380</v>
      </c>
      <c r="L118" t="s">
        <v>39</v>
      </c>
      <c r="M118" s="2">
        <f>Table1[[#This Row],[Revenue_INR]]-Table1[[#This Row],[Price_INR]]</f>
        <v>-1020</v>
      </c>
      <c r="N118">
        <f>YEAR(Table1[[#This Row],[Date]])</f>
        <v>2024</v>
      </c>
      <c r="O118" s="2">
        <f t="shared" si="4"/>
        <v>2380</v>
      </c>
      <c r="P118" s="7">
        <f t="shared" si="5"/>
        <v>-42.857142857142854</v>
      </c>
      <c r="Q118" s="2">
        <f t="shared" si="6"/>
        <v>1020</v>
      </c>
      <c r="R118" s="5" t="str">
        <f t="shared" si="7"/>
        <v>Below Average</v>
      </c>
      <c r="S118" s="5" t="str">
        <f>Table1[[#This Row],[Quarter]]&amp;" - "&amp;Table1[[#This Row],[City]]</f>
        <v>Q1 - Mumbai</v>
      </c>
    </row>
    <row r="119" spans="1:19" x14ac:dyDescent="0.3">
      <c r="A119" t="s">
        <v>178</v>
      </c>
      <c r="B119" s="1">
        <v>45338</v>
      </c>
      <c r="C119" t="s">
        <v>135</v>
      </c>
      <c r="D119" t="s">
        <v>14</v>
      </c>
      <c r="E119" t="s">
        <v>34</v>
      </c>
      <c r="F119" t="s">
        <v>31</v>
      </c>
      <c r="G119" t="s">
        <v>32</v>
      </c>
      <c r="H119">
        <v>8</v>
      </c>
      <c r="I119">
        <v>4430</v>
      </c>
      <c r="J119">
        <v>0</v>
      </c>
      <c r="K119">
        <v>35440</v>
      </c>
      <c r="L119" t="s">
        <v>45</v>
      </c>
      <c r="M119" s="2">
        <f>Table1[[#This Row],[Revenue_INR]]-Table1[[#This Row],[Price_INR]]</f>
        <v>31010</v>
      </c>
      <c r="N119">
        <f>YEAR(Table1[[#This Row],[Date]])</f>
        <v>2024</v>
      </c>
      <c r="O119" s="2">
        <f t="shared" si="4"/>
        <v>4430</v>
      </c>
      <c r="P119" s="7">
        <f t="shared" si="5"/>
        <v>87.5</v>
      </c>
      <c r="Q119" s="2">
        <f t="shared" si="6"/>
        <v>0</v>
      </c>
      <c r="R119" s="5" t="str">
        <f t="shared" si="7"/>
        <v>Above Average</v>
      </c>
      <c r="S119" s="5" t="str">
        <f>Table1[[#This Row],[Quarter]]&amp;" - "&amp;Table1[[#This Row],[City]]</f>
        <v>Q1 - Delhi</v>
      </c>
    </row>
    <row r="120" spans="1:19" x14ac:dyDescent="0.3">
      <c r="A120" t="s">
        <v>179</v>
      </c>
      <c r="B120" s="1">
        <v>45338</v>
      </c>
      <c r="C120" t="s">
        <v>135</v>
      </c>
      <c r="D120" t="s">
        <v>14</v>
      </c>
      <c r="E120" t="s">
        <v>34</v>
      </c>
      <c r="F120" t="s">
        <v>31</v>
      </c>
      <c r="G120" t="s">
        <v>38</v>
      </c>
      <c r="H120">
        <v>11</v>
      </c>
      <c r="I120">
        <v>3000</v>
      </c>
      <c r="J120">
        <v>25</v>
      </c>
      <c r="K120">
        <v>24750</v>
      </c>
      <c r="L120" t="s">
        <v>49</v>
      </c>
      <c r="M120" s="2">
        <f>Table1[[#This Row],[Revenue_INR]]-Table1[[#This Row],[Price_INR]]</f>
        <v>21750</v>
      </c>
      <c r="N120">
        <f>YEAR(Table1[[#This Row],[Date]])</f>
        <v>2024</v>
      </c>
      <c r="O120" s="2">
        <f t="shared" si="4"/>
        <v>2250</v>
      </c>
      <c r="P120" s="7">
        <f t="shared" si="5"/>
        <v>87.878787878787875</v>
      </c>
      <c r="Q120" s="2">
        <f t="shared" si="6"/>
        <v>8250</v>
      </c>
      <c r="R120" s="5" t="str">
        <f t="shared" si="7"/>
        <v>Above Average</v>
      </c>
      <c r="S120" s="5" t="str">
        <f>Table1[[#This Row],[Quarter]]&amp;" - "&amp;Table1[[#This Row],[City]]</f>
        <v>Q1 - Delhi</v>
      </c>
    </row>
    <row r="121" spans="1:19" x14ac:dyDescent="0.3">
      <c r="A121" t="s">
        <v>180</v>
      </c>
      <c r="B121" s="1">
        <v>45338</v>
      </c>
      <c r="C121" t="s">
        <v>135</v>
      </c>
      <c r="D121" t="s">
        <v>14</v>
      </c>
      <c r="E121" t="s">
        <v>20</v>
      </c>
      <c r="F121" t="s">
        <v>60</v>
      </c>
      <c r="G121" t="s">
        <v>99</v>
      </c>
      <c r="H121">
        <v>2</v>
      </c>
      <c r="I121">
        <v>2180</v>
      </c>
      <c r="J121">
        <v>25</v>
      </c>
      <c r="K121">
        <v>3270</v>
      </c>
      <c r="L121" t="s">
        <v>77</v>
      </c>
      <c r="M121" s="2">
        <f>Table1[[#This Row],[Revenue_INR]]-Table1[[#This Row],[Price_INR]]</f>
        <v>1090</v>
      </c>
      <c r="N121">
        <f>YEAR(Table1[[#This Row],[Date]])</f>
        <v>2024</v>
      </c>
      <c r="O121" s="2">
        <f t="shared" si="4"/>
        <v>1635</v>
      </c>
      <c r="P121" s="7">
        <f t="shared" si="5"/>
        <v>33.333333333333329</v>
      </c>
      <c r="Q121" s="2">
        <f t="shared" si="6"/>
        <v>1090</v>
      </c>
      <c r="R121" s="5" t="str">
        <f t="shared" si="7"/>
        <v>Below Average</v>
      </c>
      <c r="S121" s="5" t="str">
        <f>Table1[[#This Row],[Quarter]]&amp;" - "&amp;Table1[[#This Row],[City]]</f>
        <v>Q1 - Mumbai</v>
      </c>
    </row>
    <row r="122" spans="1:19" x14ac:dyDescent="0.3">
      <c r="A122" t="s">
        <v>181</v>
      </c>
      <c r="B122" s="1">
        <v>45338</v>
      </c>
      <c r="C122" t="s">
        <v>135</v>
      </c>
      <c r="D122" t="s">
        <v>14</v>
      </c>
      <c r="E122" t="s">
        <v>34</v>
      </c>
      <c r="F122" t="s">
        <v>21</v>
      </c>
      <c r="G122" t="s">
        <v>75</v>
      </c>
      <c r="H122">
        <v>14</v>
      </c>
      <c r="I122">
        <v>3360</v>
      </c>
      <c r="J122">
        <v>15</v>
      </c>
      <c r="K122">
        <v>39984</v>
      </c>
      <c r="L122" t="s">
        <v>36</v>
      </c>
      <c r="M122" s="2">
        <f>Table1[[#This Row],[Revenue_INR]]-Table1[[#This Row],[Price_INR]]</f>
        <v>36624</v>
      </c>
      <c r="N122">
        <f>YEAR(Table1[[#This Row],[Date]])</f>
        <v>2024</v>
      </c>
      <c r="O122" s="2">
        <f t="shared" si="4"/>
        <v>2856</v>
      </c>
      <c r="P122" s="7">
        <f t="shared" si="5"/>
        <v>91.596638655462186</v>
      </c>
      <c r="Q122" s="2">
        <f t="shared" si="6"/>
        <v>7056</v>
      </c>
      <c r="R122" s="5" t="str">
        <f t="shared" si="7"/>
        <v>Above Average</v>
      </c>
      <c r="S122" s="5" t="str">
        <f>Table1[[#This Row],[Quarter]]&amp;" - "&amp;Table1[[#This Row],[City]]</f>
        <v>Q1 - Delhi</v>
      </c>
    </row>
    <row r="123" spans="1:19" x14ac:dyDescent="0.3">
      <c r="A123" t="s">
        <v>182</v>
      </c>
      <c r="B123" s="1">
        <v>45338</v>
      </c>
      <c r="C123" t="s">
        <v>135</v>
      </c>
      <c r="D123" t="s">
        <v>14</v>
      </c>
      <c r="E123" t="s">
        <v>15</v>
      </c>
      <c r="F123" t="s">
        <v>21</v>
      </c>
      <c r="G123" t="s">
        <v>22</v>
      </c>
      <c r="H123">
        <v>4</v>
      </c>
      <c r="I123">
        <v>1770</v>
      </c>
      <c r="J123">
        <v>25</v>
      </c>
      <c r="K123">
        <v>5310</v>
      </c>
      <c r="L123" t="s">
        <v>92</v>
      </c>
      <c r="M123" s="2">
        <f>Table1[[#This Row],[Revenue_INR]]-Table1[[#This Row],[Price_INR]]</f>
        <v>3540</v>
      </c>
      <c r="N123">
        <f>YEAR(Table1[[#This Row],[Date]])</f>
        <v>2024</v>
      </c>
      <c r="O123" s="2">
        <f t="shared" si="4"/>
        <v>1327.5</v>
      </c>
      <c r="P123" s="7">
        <f t="shared" si="5"/>
        <v>66.666666666666657</v>
      </c>
      <c r="Q123" s="2">
        <f t="shared" si="6"/>
        <v>1770</v>
      </c>
      <c r="R123" s="5" t="str">
        <f t="shared" si="7"/>
        <v>Below Average</v>
      </c>
      <c r="S123" s="5" t="str">
        <f>Table1[[#This Row],[Quarter]]&amp;" - "&amp;Table1[[#This Row],[City]]</f>
        <v>Q1 - Kolkata</v>
      </c>
    </row>
    <row r="124" spans="1:19" x14ac:dyDescent="0.3">
      <c r="A124" t="s">
        <v>183</v>
      </c>
      <c r="B124" s="1">
        <v>45339</v>
      </c>
      <c r="C124" t="s">
        <v>135</v>
      </c>
      <c r="D124" t="s">
        <v>14</v>
      </c>
      <c r="E124" t="s">
        <v>34</v>
      </c>
      <c r="F124" t="s">
        <v>26</v>
      </c>
      <c r="G124" t="s">
        <v>80</v>
      </c>
      <c r="H124">
        <v>14</v>
      </c>
      <c r="I124">
        <v>11490</v>
      </c>
      <c r="J124">
        <v>25</v>
      </c>
      <c r="K124">
        <v>120645</v>
      </c>
      <c r="L124" t="s">
        <v>36</v>
      </c>
      <c r="M124" s="2">
        <f>Table1[[#This Row],[Revenue_INR]]-Table1[[#This Row],[Price_INR]]</f>
        <v>109155</v>
      </c>
      <c r="N124">
        <f>YEAR(Table1[[#This Row],[Date]])</f>
        <v>2024</v>
      </c>
      <c r="O124" s="2">
        <f t="shared" si="4"/>
        <v>8617.5</v>
      </c>
      <c r="P124" s="7">
        <f t="shared" si="5"/>
        <v>90.476190476190482</v>
      </c>
      <c r="Q124" s="2">
        <f t="shared" si="6"/>
        <v>40215</v>
      </c>
      <c r="R124" s="5" t="str">
        <f t="shared" si="7"/>
        <v>Above Average</v>
      </c>
      <c r="S124" s="5" t="str">
        <f>Table1[[#This Row],[Quarter]]&amp;" - "&amp;Table1[[#This Row],[City]]</f>
        <v>Q1 - Delhi</v>
      </c>
    </row>
    <row r="125" spans="1:19" x14ac:dyDescent="0.3">
      <c r="A125" t="s">
        <v>184</v>
      </c>
      <c r="B125" s="1">
        <v>45340</v>
      </c>
      <c r="C125" t="s">
        <v>135</v>
      </c>
      <c r="D125" t="s">
        <v>14</v>
      </c>
      <c r="E125" t="s">
        <v>34</v>
      </c>
      <c r="F125" t="s">
        <v>26</v>
      </c>
      <c r="G125" t="s">
        <v>27</v>
      </c>
      <c r="H125">
        <v>9</v>
      </c>
      <c r="I125">
        <v>12450</v>
      </c>
      <c r="J125">
        <v>25</v>
      </c>
      <c r="K125">
        <v>84037.5</v>
      </c>
      <c r="L125" t="s">
        <v>45</v>
      </c>
      <c r="M125" s="2">
        <f>Table1[[#This Row],[Revenue_INR]]-Table1[[#This Row],[Price_INR]]</f>
        <v>71587.5</v>
      </c>
      <c r="N125">
        <f>YEAR(Table1[[#This Row],[Date]])</f>
        <v>2024</v>
      </c>
      <c r="O125" s="2">
        <f t="shared" si="4"/>
        <v>9337.5</v>
      </c>
      <c r="P125" s="7">
        <f t="shared" si="5"/>
        <v>85.18518518518519</v>
      </c>
      <c r="Q125" s="2">
        <f t="shared" si="6"/>
        <v>28012.5</v>
      </c>
      <c r="R125" s="5" t="str">
        <f t="shared" si="7"/>
        <v>Above Average</v>
      </c>
      <c r="S125" s="5" t="str">
        <f>Table1[[#This Row],[Quarter]]&amp;" - "&amp;Table1[[#This Row],[City]]</f>
        <v>Q1 - Delhi</v>
      </c>
    </row>
    <row r="126" spans="1:19" x14ac:dyDescent="0.3">
      <c r="A126" t="s">
        <v>185</v>
      </c>
      <c r="B126" s="1">
        <v>45340</v>
      </c>
      <c r="C126" t="s">
        <v>135</v>
      </c>
      <c r="D126" t="s">
        <v>14</v>
      </c>
      <c r="E126" t="s">
        <v>34</v>
      </c>
      <c r="F126" t="s">
        <v>16</v>
      </c>
      <c r="G126" t="s">
        <v>69</v>
      </c>
      <c r="H126">
        <v>7</v>
      </c>
      <c r="I126">
        <v>870</v>
      </c>
      <c r="J126">
        <v>0</v>
      </c>
      <c r="K126">
        <v>6090</v>
      </c>
      <c r="L126" t="s">
        <v>45</v>
      </c>
      <c r="M126" s="2">
        <f>Table1[[#This Row],[Revenue_INR]]-Table1[[#This Row],[Price_INR]]</f>
        <v>5220</v>
      </c>
      <c r="N126">
        <f>YEAR(Table1[[#This Row],[Date]])</f>
        <v>2024</v>
      </c>
      <c r="O126" s="2">
        <f t="shared" si="4"/>
        <v>870</v>
      </c>
      <c r="P126" s="7">
        <f t="shared" si="5"/>
        <v>85.714285714285708</v>
      </c>
      <c r="Q126" s="2">
        <f t="shared" si="6"/>
        <v>0</v>
      </c>
      <c r="R126" s="5" t="str">
        <f t="shared" si="7"/>
        <v>Below Average</v>
      </c>
      <c r="S126" s="5" t="str">
        <f>Table1[[#This Row],[Quarter]]&amp;" - "&amp;Table1[[#This Row],[City]]</f>
        <v>Q1 - Delhi</v>
      </c>
    </row>
    <row r="127" spans="1:19" x14ac:dyDescent="0.3">
      <c r="A127" t="s">
        <v>186</v>
      </c>
      <c r="B127" s="1">
        <v>45341</v>
      </c>
      <c r="C127" t="s">
        <v>135</v>
      </c>
      <c r="D127" t="s">
        <v>14</v>
      </c>
      <c r="E127" t="s">
        <v>25</v>
      </c>
      <c r="F127" t="s">
        <v>47</v>
      </c>
      <c r="G127" t="s">
        <v>55</v>
      </c>
      <c r="H127">
        <v>4</v>
      </c>
      <c r="I127">
        <v>3870</v>
      </c>
      <c r="J127">
        <v>5</v>
      </c>
      <c r="K127">
        <v>14706</v>
      </c>
      <c r="L127" t="s">
        <v>42</v>
      </c>
      <c r="M127" s="2">
        <f>Table1[[#This Row],[Revenue_INR]]-Table1[[#This Row],[Price_INR]]</f>
        <v>10836</v>
      </c>
      <c r="N127">
        <f>YEAR(Table1[[#This Row],[Date]])</f>
        <v>2024</v>
      </c>
      <c r="O127" s="2">
        <f t="shared" si="4"/>
        <v>3676.5</v>
      </c>
      <c r="P127" s="7">
        <f t="shared" si="5"/>
        <v>73.68421052631578</v>
      </c>
      <c r="Q127" s="2">
        <f t="shared" si="6"/>
        <v>774</v>
      </c>
      <c r="R127" s="5" t="str">
        <f t="shared" si="7"/>
        <v>Below Average</v>
      </c>
      <c r="S127" s="5" t="str">
        <f>Table1[[#This Row],[Quarter]]&amp;" - "&amp;Table1[[#This Row],[City]]</f>
        <v>Q1 - Hyderabad</v>
      </c>
    </row>
    <row r="128" spans="1:19" x14ac:dyDescent="0.3">
      <c r="A128" t="s">
        <v>187</v>
      </c>
      <c r="B128" s="1">
        <v>45342</v>
      </c>
      <c r="C128" t="s">
        <v>135</v>
      </c>
      <c r="D128" t="s">
        <v>14</v>
      </c>
      <c r="E128" t="s">
        <v>15</v>
      </c>
      <c r="F128" t="s">
        <v>26</v>
      </c>
      <c r="G128" t="s">
        <v>27</v>
      </c>
      <c r="H128">
        <v>10</v>
      </c>
      <c r="I128">
        <v>6720</v>
      </c>
      <c r="J128">
        <v>15</v>
      </c>
      <c r="K128">
        <v>57120</v>
      </c>
      <c r="L128" t="s">
        <v>18</v>
      </c>
      <c r="M128" s="2">
        <f>Table1[[#This Row],[Revenue_INR]]-Table1[[#This Row],[Price_INR]]</f>
        <v>50400</v>
      </c>
      <c r="N128">
        <f>YEAR(Table1[[#This Row],[Date]])</f>
        <v>2024</v>
      </c>
      <c r="O128" s="2">
        <f t="shared" si="4"/>
        <v>5712</v>
      </c>
      <c r="P128" s="7">
        <f t="shared" si="5"/>
        <v>88.235294117647058</v>
      </c>
      <c r="Q128" s="2">
        <f t="shared" si="6"/>
        <v>10080</v>
      </c>
      <c r="R128" s="5" t="str">
        <f t="shared" si="7"/>
        <v>Above Average</v>
      </c>
      <c r="S128" s="5" t="str">
        <f>Table1[[#This Row],[Quarter]]&amp;" - "&amp;Table1[[#This Row],[City]]</f>
        <v>Q1 - Kolkata</v>
      </c>
    </row>
    <row r="129" spans="1:19" x14ac:dyDescent="0.3">
      <c r="A129" t="s">
        <v>188</v>
      </c>
      <c r="B129" s="1">
        <v>45342</v>
      </c>
      <c r="C129" t="s">
        <v>135</v>
      </c>
      <c r="D129" t="s">
        <v>14</v>
      </c>
      <c r="E129" t="s">
        <v>34</v>
      </c>
      <c r="F129" t="s">
        <v>47</v>
      </c>
      <c r="G129" t="s">
        <v>48</v>
      </c>
      <c r="H129">
        <v>5</v>
      </c>
      <c r="I129">
        <v>4340</v>
      </c>
      <c r="J129">
        <v>30</v>
      </c>
      <c r="K129">
        <v>15190</v>
      </c>
      <c r="L129" t="s">
        <v>49</v>
      </c>
      <c r="M129" s="2">
        <f>Table1[[#This Row],[Revenue_INR]]-Table1[[#This Row],[Price_INR]]</f>
        <v>10850</v>
      </c>
      <c r="N129">
        <f>YEAR(Table1[[#This Row],[Date]])</f>
        <v>2024</v>
      </c>
      <c r="O129" s="2">
        <f t="shared" si="4"/>
        <v>3038</v>
      </c>
      <c r="P129" s="7">
        <f t="shared" si="5"/>
        <v>71.428571428571431</v>
      </c>
      <c r="Q129" s="2">
        <f t="shared" si="6"/>
        <v>6510</v>
      </c>
      <c r="R129" s="5" t="str">
        <f t="shared" si="7"/>
        <v>Below Average</v>
      </c>
      <c r="S129" s="5" t="str">
        <f>Table1[[#This Row],[Quarter]]&amp;" - "&amp;Table1[[#This Row],[City]]</f>
        <v>Q1 - Delhi</v>
      </c>
    </row>
    <row r="130" spans="1:19" x14ac:dyDescent="0.3">
      <c r="A130" t="s">
        <v>189</v>
      </c>
      <c r="B130" s="1">
        <v>45342</v>
      </c>
      <c r="C130" t="s">
        <v>135</v>
      </c>
      <c r="D130" t="s">
        <v>14</v>
      </c>
      <c r="E130" t="s">
        <v>34</v>
      </c>
      <c r="F130" t="s">
        <v>47</v>
      </c>
      <c r="G130" t="s">
        <v>48</v>
      </c>
      <c r="H130">
        <v>3</v>
      </c>
      <c r="I130">
        <v>7430</v>
      </c>
      <c r="J130">
        <v>30</v>
      </c>
      <c r="K130">
        <v>15603</v>
      </c>
      <c r="L130" t="s">
        <v>36</v>
      </c>
      <c r="M130" s="2">
        <f>Table1[[#This Row],[Revenue_INR]]-Table1[[#This Row],[Price_INR]]</f>
        <v>8173</v>
      </c>
      <c r="N130">
        <f>YEAR(Table1[[#This Row],[Date]])</f>
        <v>2024</v>
      </c>
      <c r="O130" s="2">
        <f t="shared" ref="O130:O193" si="8">K130/H130</f>
        <v>5201</v>
      </c>
      <c r="P130" s="7">
        <f t="shared" ref="P130:P193" si="9">M130/K130*100</f>
        <v>52.380952380952387</v>
      </c>
      <c r="Q130" s="2">
        <f t="shared" ref="Q130:Q193" si="10">I130*H130*J130/100</f>
        <v>6687</v>
      </c>
      <c r="R130" s="5" t="str">
        <f t="shared" ref="R130:R193" si="11">IF(K130&gt;AVERAGE($K$2:$K$1001),"Above Average","Below Average")</f>
        <v>Below Average</v>
      </c>
      <c r="S130" s="5" t="str">
        <f>Table1[[#This Row],[Quarter]]&amp;" - "&amp;Table1[[#This Row],[City]]</f>
        <v>Q1 - Delhi</v>
      </c>
    </row>
    <row r="131" spans="1:19" x14ac:dyDescent="0.3">
      <c r="A131" t="s">
        <v>190</v>
      </c>
      <c r="B131" s="1">
        <v>45343</v>
      </c>
      <c r="C131" t="s">
        <v>135</v>
      </c>
      <c r="D131" t="s">
        <v>14</v>
      </c>
      <c r="E131" t="s">
        <v>15</v>
      </c>
      <c r="F131" t="s">
        <v>21</v>
      </c>
      <c r="G131" t="s">
        <v>75</v>
      </c>
      <c r="H131">
        <v>2</v>
      </c>
      <c r="I131">
        <v>2900</v>
      </c>
      <c r="J131">
        <v>25</v>
      </c>
      <c r="K131">
        <v>4350</v>
      </c>
      <c r="L131" t="s">
        <v>53</v>
      </c>
      <c r="M131" s="2">
        <f>Table1[[#This Row],[Revenue_INR]]-Table1[[#This Row],[Price_INR]]</f>
        <v>1450</v>
      </c>
      <c r="N131">
        <f>YEAR(Table1[[#This Row],[Date]])</f>
        <v>2024</v>
      </c>
      <c r="O131" s="2">
        <f t="shared" si="8"/>
        <v>2175</v>
      </c>
      <c r="P131" s="7">
        <f t="shared" si="9"/>
        <v>33.333333333333329</v>
      </c>
      <c r="Q131" s="2">
        <f t="shared" si="10"/>
        <v>1450</v>
      </c>
      <c r="R131" s="5" t="str">
        <f t="shared" si="11"/>
        <v>Below Average</v>
      </c>
      <c r="S131" s="5" t="str">
        <f>Table1[[#This Row],[Quarter]]&amp;" - "&amp;Table1[[#This Row],[City]]</f>
        <v>Q1 - Kolkata</v>
      </c>
    </row>
    <row r="132" spans="1:19" x14ac:dyDescent="0.3">
      <c r="A132" t="s">
        <v>191</v>
      </c>
      <c r="B132" s="1">
        <v>45343</v>
      </c>
      <c r="C132" t="s">
        <v>135</v>
      </c>
      <c r="D132" t="s">
        <v>14</v>
      </c>
      <c r="E132" t="s">
        <v>20</v>
      </c>
      <c r="F132" t="s">
        <v>47</v>
      </c>
      <c r="G132" t="s">
        <v>55</v>
      </c>
      <c r="H132">
        <v>12</v>
      </c>
      <c r="I132">
        <v>7320</v>
      </c>
      <c r="J132">
        <v>30</v>
      </c>
      <c r="K132">
        <v>61488</v>
      </c>
      <c r="L132" t="s">
        <v>23</v>
      </c>
      <c r="M132" s="2">
        <f>Table1[[#This Row],[Revenue_INR]]-Table1[[#This Row],[Price_INR]]</f>
        <v>54168</v>
      </c>
      <c r="N132">
        <f>YEAR(Table1[[#This Row],[Date]])</f>
        <v>2024</v>
      </c>
      <c r="O132" s="2">
        <f t="shared" si="8"/>
        <v>5124</v>
      </c>
      <c r="P132" s="7">
        <f t="shared" si="9"/>
        <v>88.095238095238088</v>
      </c>
      <c r="Q132" s="2">
        <f t="shared" si="10"/>
        <v>26352</v>
      </c>
      <c r="R132" s="5" t="str">
        <f t="shared" si="11"/>
        <v>Above Average</v>
      </c>
      <c r="S132" s="5" t="str">
        <f>Table1[[#This Row],[Quarter]]&amp;" - "&amp;Table1[[#This Row],[City]]</f>
        <v>Q1 - Mumbai</v>
      </c>
    </row>
    <row r="133" spans="1:19" x14ac:dyDescent="0.3">
      <c r="A133" t="s">
        <v>192</v>
      </c>
      <c r="B133" s="1">
        <v>45343</v>
      </c>
      <c r="C133" t="s">
        <v>135</v>
      </c>
      <c r="D133" t="s">
        <v>14</v>
      </c>
      <c r="E133" t="s">
        <v>25</v>
      </c>
      <c r="F133" t="s">
        <v>47</v>
      </c>
      <c r="G133" t="s">
        <v>55</v>
      </c>
      <c r="H133">
        <v>10</v>
      </c>
      <c r="I133">
        <v>2880</v>
      </c>
      <c r="J133">
        <v>10</v>
      </c>
      <c r="K133">
        <v>25920</v>
      </c>
      <c r="L133" t="s">
        <v>28</v>
      </c>
      <c r="M133" s="2">
        <f>Table1[[#This Row],[Revenue_INR]]-Table1[[#This Row],[Price_INR]]</f>
        <v>23040</v>
      </c>
      <c r="N133">
        <f>YEAR(Table1[[#This Row],[Date]])</f>
        <v>2024</v>
      </c>
      <c r="O133" s="2">
        <f t="shared" si="8"/>
        <v>2592</v>
      </c>
      <c r="P133" s="7">
        <f t="shared" si="9"/>
        <v>88.888888888888886</v>
      </c>
      <c r="Q133" s="2">
        <f t="shared" si="10"/>
        <v>2880</v>
      </c>
      <c r="R133" s="5" t="str">
        <f t="shared" si="11"/>
        <v>Above Average</v>
      </c>
      <c r="S133" s="5" t="str">
        <f>Table1[[#This Row],[Quarter]]&amp;" - "&amp;Table1[[#This Row],[City]]</f>
        <v>Q1 - Hyderabad</v>
      </c>
    </row>
    <row r="134" spans="1:19" x14ac:dyDescent="0.3">
      <c r="A134" t="s">
        <v>193</v>
      </c>
      <c r="B134" s="1">
        <v>45343</v>
      </c>
      <c r="C134" t="s">
        <v>135</v>
      </c>
      <c r="D134" t="s">
        <v>14</v>
      </c>
      <c r="E134" t="s">
        <v>15</v>
      </c>
      <c r="F134" t="s">
        <v>26</v>
      </c>
      <c r="G134" t="s">
        <v>27</v>
      </c>
      <c r="H134">
        <v>4</v>
      </c>
      <c r="I134">
        <v>10320</v>
      </c>
      <c r="J134">
        <v>5</v>
      </c>
      <c r="K134">
        <v>39216</v>
      </c>
      <c r="L134" t="s">
        <v>92</v>
      </c>
      <c r="M134" s="2">
        <f>Table1[[#This Row],[Revenue_INR]]-Table1[[#This Row],[Price_INR]]</f>
        <v>28896</v>
      </c>
      <c r="N134">
        <f>YEAR(Table1[[#This Row],[Date]])</f>
        <v>2024</v>
      </c>
      <c r="O134" s="2">
        <f t="shared" si="8"/>
        <v>9804</v>
      </c>
      <c r="P134" s="7">
        <f t="shared" si="9"/>
        <v>73.68421052631578</v>
      </c>
      <c r="Q134" s="2">
        <f t="shared" si="10"/>
        <v>2064</v>
      </c>
      <c r="R134" s="5" t="str">
        <f t="shared" si="11"/>
        <v>Above Average</v>
      </c>
      <c r="S134" s="5" t="str">
        <f>Table1[[#This Row],[Quarter]]&amp;" - "&amp;Table1[[#This Row],[City]]</f>
        <v>Q1 - Kolkata</v>
      </c>
    </row>
    <row r="135" spans="1:19" x14ac:dyDescent="0.3">
      <c r="A135" t="s">
        <v>194</v>
      </c>
      <c r="B135" s="1">
        <v>45344</v>
      </c>
      <c r="C135" t="s">
        <v>135</v>
      </c>
      <c r="D135" t="s">
        <v>14</v>
      </c>
      <c r="E135" t="s">
        <v>15</v>
      </c>
      <c r="F135" t="s">
        <v>47</v>
      </c>
      <c r="G135" t="s">
        <v>55</v>
      </c>
      <c r="H135">
        <v>11</v>
      </c>
      <c r="I135">
        <v>2280</v>
      </c>
      <c r="J135">
        <v>10</v>
      </c>
      <c r="K135">
        <v>22572</v>
      </c>
      <c r="L135" t="s">
        <v>18</v>
      </c>
      <c r="M135" s="2">
        <f>Table1[[#This Row],[Revenue_INR]]-Table1[[#This Row],[Price_INR]]</f>
        <v>20292</v>
      </c>
      <c r="N135">
        <f>YEAR(Table1[[#This Row],[Date]])</f>
        <v>2024</v>
      </c>
      <c r="O135" s="2">
        <f t="shared" si="8"/>
        <v>2052</v>
      </c>
      <c r="P135" s="7">
        <f t="shared" si="9"/>
        <v>89.898989898989896</v>
      </c>
      <c r="Q135" s="2">
        <f t="shared" si="10"/>
        <v>2508</v>
      </c>
      <c r="R135" s="5" t="str">
        <f t="shared" si="11"/>
        <v>Below Average</v>
      </c>
      <c r="S135" s="5" t="str">
        <f>Table1[[#This Row],[Quarter]]&amp;" - "&amp;Table1[[#This Row],[City]]</f>
        <v>Q1 - Kolkata</v>
      </c>
    </row>
    <row r="136" spans="1:19" x14ac:dyDescent="0.3">
      <c r="A136" t="s">
        <v>195</v>
      </c>
      <c r="B136" s="1">
        <v>45344</v>
      </c>
      <c r="C136" t="s">
        <v>135</v>
      </c>
      <c r="D136" t="s">
        <v>14</v>
      </c>
      <c r="E136" t="s">
        <v>34</v>
      </c>
      <c r="F136" t="s">
        <v>26</v>
      </c>
      <c r="G136" t="s">
        <v>58</v>
      </c>
      <c r="H136">
        <v>1</v>
      </c>
      <c r="I136">
        <v>7260</v>
      </c>
      <c r="J136">
        <v>15</v>
      </c>
      <c r="K136">
        <v>6171</v>
      </c>
      <c r="L136" t="s">
        <v>49</v>
      </c>
      <c r="M136" s="2">
        <f>Table1[[#This Row],[Revenue_INR]]-Table1[[#This Row],[Price_INR]]</f>
        <v>-1089</v>
      </c>
      <c r="N136">
        <f>YEAR(Table1[[#This Row],[Date]])</f>
        <v>2024</v>
      </c>
      <c r="O136" s="2">
        <f t="shared" si="8"/>
        <v>6171</v>
      </c>
      <c r="P136" s="7">
        <f t="shared" si="9"/>
        <v>-17.647058823529413</v>
      </c>
      <c r="Q136" s="2">
        <f t="shared" si="10"/>
        <v>1089</v>
      </c>
      <c r="R136" s="5" t="str">
        <f t="shared" si="11"/>
        <v>Below Average</v>
      </c>
      <c r="S136" s="5" t="str">
        <f>Table1[[#This Row],[Quarter]]&amp;" - "&amp;Table1[[#This Row],[City]]</f>
        <v>Q1 - Delhi</v>
      </c>
    </row>
    <row r="137" spans="1:19" x14ac:dyDescent="0.3">
      <c r="A137" t="s">
        <v>196</v>
      </c>
      <c r="B137" s="1">
        <v>45344</v>
      </c>
      <c r="C137" t="s">
        <v>135</v>
      </c>
      <c r="D137" t="s">
        <v>14</v>
      </c>
      <c r="E137" t="s">
        <v>25</v>
      </c>
      <c r="F137" t="s">
        <v>47</v>
      </c>
      <c r="G137" t="s">
        <v>102</v>
      </c>
      <c r="H137">
        <v>9</v>
      </c>
      <c r="I137">
        <v>5900</v>
      </c>
      <c r="J137">
        <v>15</v>
      </c>
      <c r="K137">
        <v>45135</v>
      </c>
      <c r="L137" t="s">
        <v>42</v>
      </c>
      <c r="M137" s="2">
        <f>Table1[[#This Row],[Revenue_INR]]-Table1[[#This Row],[Price_INR]]</f>
        <v>39235</v>
      </c>
      <c r="N137">
        <f>YEAR(Table1[[#This Row],[Date]])</f>
        <v>2024</v>
      </c>
      <c r="O137" s="2">
        <f t="shared" si="8"/>
        <v>5015</v>
      </c>
      <c r="P137" s="7">
        <f t="shared" si="9"/>
        <v>86.928104575163403</v>
      </c>
      <c r="Q137" s="2">
        <f t="shared" si="10"/>
        <v>7965</v>
      </c>
      <c r="R137" s="5" t="str">
        <f t="shared" si="11"/>
        <v>Above Average</v>
      </c>
      <c r="S137" s="5" t="str">
        <f>Table1[[#This Row],[Quarter]]&amp;" - "&amp;Table1[[#This Row],[City]]</f>
        <v>Q1 - Hyderabad</v>
      </c>
    </row>
    <row r="138" spans="1:19" x14ac:dyDescent="0.3">
      <c r="A138" t="s">
        <v>197</v>
      </c>
      <c r="B138" s="1">
        <v>45344</v>
      </c>
      <c r="C138" t="s">
        <v>135</v>
      </c>
      <c r="D138" t="s">
        <v>14</v>
      </c>
      <c r="E138" t="s">
        <v>20</v>
      </c>
      <c r="F138" t="s">
        <v>60</v>
      </c>
      <c r="G138" t="s">
        <v>99</v>
      </c>
      <c r="H138">
        <v>3</v>
      </c>
      <c r="I138">
        <v>1060</v>
      </c>
      <c r="J138">
        <v>25</v>
      </c>
      <c r="K138">
        <v>2385</v>
      </c>
      <c r="L138" t="s">
        <v>77</v>
      </c>
      <c r="M138" s="2">
        <f>Table1[[#This Row],[Revenue_INR]]-Table1[[#This Row],[Price_INR]]</f>
        <v>1325</v>
      </c>
      <c r="N138">
        <f>YEAR(Table1[[#This Row],[Date]])</f>
        <v>2024</v>
      </c>
      <c r="O138" s="2">
        <f t="shared" si="8"/>
        <v>795</v>
      </c>
      <c r="P138" s="7">
        <f t="shared" si="9"/>
        <v>55.555555555555557</v>
      </c>
      <c r="Q138" s="2">
        <f t="shared" si="10"/>
        <v>795</v>
      </c>
      <c r="R138" s="5" t="str">
        <f t="shared" si="11"/>
        <v>Below Average</v>
      </c>
      <c r="S138" s="5" t="str">
        <f>Table1[[#This Row],[Quarter]]&amp;" - "&amp;Table1[[#This Row],[City]]</f>
        <v>Q1 - Mumbai</v>
      </c>
    </row>
    <row r="139" spans="1:19" x14ac:dyDescent="0.3">
      <c r="A139" t="s">
        <v>198</v>
      </c>
      <c r="B139" s="1">
        <v>45344</v>
      </c>
      <c r="C139" t="s">
        <v>135</v>
      </c>
      <c r="D139" t="s">
        <v>14</v>
      </c>
      <c r="E139" t="s">
        <v>25</v>
      </c>
      <c r="F139" t="s">
        <v>47</v>
      </c>
      <c r="G139" t="s">
        <v>55</v>
      </c>
      <c r="H139">
        <v>2</v>
      </c>
      <c r="I139">
        <v>3600</v>
      </c>
      <c r="J139">
        <v>25</v>
      </c>
      <c r="K139">
        <v>5400</v>
      </c>
      <c r="L139" t="s">
        <v>42</v>
      </c>
      <c r="M139" s="2">
        <f>Table1[[#This Row],[Revenue_INR]]-Table1[[#This Row],[Price_INR]]</f>
        <v>1800</v>
      </c>
      <c r="N139">
        <f>YEAR(Table1[[#This Row],[Date]])</f>
        <v>2024</v>
      </c>
      <c r="O139" s="2">
        <f t="shared" si="8"/>
        <v>2700</v>
      </c>
      <c r="P139" s="7">
        <f t="shared" si="9"/>
        <v>33.333333333333329</v>
      </c>
      <c r="Q139" s="2">
        <f t="shared" si="10"/>
        <v>1800</v>
      </c>
      <c r="R139" s="5" t="str">
        <f t="shared" si="11"/>
        <v>Below Average</v>
      </c>
      <c r="S139" s="5" t="str">
        <f>Table1[[#This Row],[Quarter]]&amp;" - "&amp;Table1[[#This Row],[City]]</f>
        <v>Q1 - Hyderabad</v>
      </c>
    </row>
    <row r="140" spans="1:19" x14ac:dyDescent="0.3">
      <c r="A140" t="s">
        <v>199</v>
      </c>
      <c r="B140" s="1">
        <v>45344</v>
      </c>
      <c r="C140" t="s">
        <v>135</v>
      </c>
      <c r="D140" t="s">
        <v>14</v>
      </c>
      <c r="E140" t="s">
        <v>15</v>
      </c>
      <c r="F140" t="s">
        <v>31</v>
      </c>
      <c r="G140" t="s">
        <v>38</v>
      </c>
      <c r="H140">
        <v>13</v>
      </c>
      <c r="I140">
        <v>1780</v>
      </c>
      <c r="J140">
        <v>10</v>
      </c>
      <c r="K140">
        <v>20826</v>
      </c>
      <c r="L140" t="s">
        <v>92</v>
      </c>
      <c r="M140" s="2">
        <f>Table1[[#This Row],[Revenue_INR]]-Table1[[#This Row],[Price_INR]]</f>
        <v>19046</v>
      </c>
      <c r="N140">
        <f>YEAR(Table1[[#This Row],[Date]])</f>
        <v>2024</v>
      </c>
      <c r="O140" s="2">
        <f t="shared" si="8"/>
        <v>1602</v>
      </c>
      <c r="P140" s="7">
        <f t="shared" si="9"/>
        <v>91.452991452991455</v>
      </c>
      <c r="Q140" s="2">
        <f t="shared" si="10"/>
        <v>2314</v>
      </c>
      <c r="R140" s="5" t="str">
        <f t="shared" si="11"/>
        <v>Below Average</v>
      </c>
      <c r="S140" s="5" t="str">
        <f>Table1[[#This Row],[Quarter]]&amp;" - "&amp;Table1[[#This Row],[City]]</f>
        <v>Q1 - Kolkata</v>
      </c>
    </row>
    <row r="141" spans="1:19" x14ac:dyDescent="0.3">
      <c r="A141" t="s">
        <v>200</v>
      </c>
      <c r="B141" s="1">
        <v>45345</v>
      </c>
      <c r="C141" t="s">
        <v>135</v>
      </c>
      <c r="D141" t="s">
        <v>14</v>
      </c>
      <c r="E141" t="s">
        <v>25</v>
      </c>
      <c r="F141" t="s">
        <v>16</v>
      </c>
      <c r="G141" t="s">
        <v>69</v>
      </c>
      <c r="H141">
        <v>14</v>
      </c>
      <c r="I141">
        <v>2950</v>
      </c>
      <c r="J141">
        <v>5</v>
      </c>
      <c r="K141">
        <v>39235</v>
      </c>
      <c r="L141" t="s">
        <v>28</v>
      </c>
      <c r="M141" s="2">
        <f>Table1[[#This Row],[Revenue_INR]]-Table1[[#This Row],[Price_INR]]</f>
        <v>36285</v>
      </c>
      <c r="N141">
        <f>YEAR(Table1[[#This Row],[Date]])</f>
        <v>2024</v>
      </c>
      <c r="O141" s="2">
        <f t="shared" si="8"/>
        <v>2802.5</v>
      </c>
      <c r="P141" s="7">
        <f t="shared" si="9"/>
        <v>92.481203007518801</v>
      </c>
      <c r="Q141" s="2">
        <f t="shared" si="10"/>
        <v>2065</v>
      </c>
      <c r="R141" s="5" t="str">
        <f t="shared" si="11"/>
        <v>Above Average</v>
      </c>
      <c r="S141" s="5" t="str">
        <f>Table1[[#This Row],[Quarter]]&amp;" - "&amp;Table1[[#This Row],[City]]</f>
        <v>Q1 - Hyderabad</v>
      </c>
    </row>
    <row r="142" spans="1:19" x14ac:dyDescent="0.3">
      <c r="A142" t="s">
        <v>201</v>
      </c>
      <c r="B142" s="1">
        <v>45346</v>
      </c>
      <c r="C142" t="s">
        <v>135</v>
      </c>
      <c r="D142" t="s">
        <v>14</v>
      </c>
      <c r="E142" t="s">
        <v>25</v>
      </c>
      <c r="F142" t="s">
        <v>16</v>
      </c>
      <c r="G142" t="s">
        <v>69</v>
      </c>
      <c r="H142">
        <v>14</v>
      </c>
      <c r="I142">
        <v>2710</v>
      </c>
      <c r="J142">
        <v>30</v>
      </c>
      <c r="K142">
        <v>26558</v>
      </c>
      <c r="L142" t="s">
        <v>28</v>
      </c>
      <c r="M142" s="2">
        <f>Table1[[#This Row],[Revenue_INR]]-Table1[[#This Row],[Price_INR]]</f>
        <v>23848</v>
      </c>
      <c r="N142">
        <f>YEAR(Table1[[#This Row],[Date]])</f>
        <v>2024</v>
      </c>
      <c r="O142" s="2">
        <f t="shared" si="8"/>
        <v>1897</v>
      </c>
      <c r="P142" s="7">
        <f t="shared" si="9"/>
        <v>89.795918367346943</v>
      </c>
      <c r="Q142" s="2">
        <f t="shared" si="10"/>
        <v>11382</v>
      </c>
      <c r="R142" s="5" t="str">
        <f t="shared" si="11"/>
        <v>Above Average</v>
      </c>
      <c r="S142" s="5" t="str">
        <f>Table1[[#This Row],[Quarter]]&amp;" - "&amp;Table1[[#This Row],[City]]</f>
        <v>Q1 - Hyderabad</v>
      </c>
    </row>
    <row r="143" spans="1:19" x14ac:dyDescent="0.3">
      <c r="A143" t="s">
        <v>202</v>
      </c>
      <c r="B143" s="1">
        <v>45346</v>
      </c>
      <c r="C143" t="s">
        <v>135</v>
      </c>
      <c r="D143" t="s">
        <v>14</v>
      </c>
      <c r="E143" t="s">
        <v>15</v>
      </c>
      <c r="F143" t="s">
        <v>26</v>
      </c>
      <c r="G143" t="s">
        <v>82</v>
      </c>
      <c r="H143">
        <v>2</v>
      </c>
      <c r="I143">
        <v>11110</v>
      </c>
      <c r="J143">
        <v>30</v>
      </c>
      <c r="K143">
        <v>15554</v>
      </c>
      <c r="L143" t="s">
        <v>92</v>
      </c>
      <c r="M143" s="2">
        <f>Table1[[#This Row],[Revenue_INR]]-Table1[[#This Row],[Price_INR]]</f>
        <v>4444</v>
      </c>
      <c r="N143">
        <f>YEAR(Table1[[#This Row],[Date]])</f>
        <v>2024</v>
      </c>
      <c r="O143" s="2">
        <f t="shared" si="8"/>
        <v>7777</v>
      </c>
      <c r="P143" s="7">
        <f t="shared" si="9"/>
        <v>28.571428571428569</v>
      </c>
      <c r="Q143" s="2">
        <f t="shared" si="10"/>
        <v>6666</v>
      </c>
      <c r="R143" s="5" t="str">
        <f t="shared" si="11"/>
        <v>Below Average</v>
      </c>
      <c r="S143" s="5" t="str">
        <f>Table1[[#This Row],[Quarter]]&amp;" - "&amp;Table1[[#This Row],[City]]</f>
        <v>Q1 - Kolkata</v>
      </c>
    </row>
    <row r="144" spans="1:19" x14ac:dyDescent="0.3">
      <c r="A144" t="s">
        <v>203</v>
      </c>
      <c r="B144" s="1">
        <v>45346</v>
      </c>
      <c r="C144" t="s">
        <v>135</v>
      </c>
      <c r="D144" t="s">
        <v>14</v>
      </c>
      <c r="E144" t="s">
        <v>25</v>
      </c>
      <c r="F144" t="s">
        <v>26</v>
      </c>
      <c r="G144" t="s">
        <v>82</v>
      </c>
      <c r="H144">
        <v>9</v>
      </c>
      <c r="I144">
        <v>7920</v>
      </c>
      <c r="J144">
        <v>15</v>
      </c>
      <c r="K144">
        <v>60588</v>
      </c>
      <c r="L144" t="s">
        <v>66</v>
      </c>
      <c r="M144" s="2">
        <f>Table1[[#This Row],[Revenue_INR]]-Table1[[#This Row],[Price_INR]]</f>
        <v>52668</v>
      </c>
      <c r="N144">
        <f>YEAR(Table1[[#This Row],[Date]])</f>
        <v>2024</v>
      </c>
      <c r="O144" s="2">
        <f t="shared" si="8"/>
        <v>6732</v>
      </c>
      <c r="P144" s="7">
        <f t="shared" si="9"/>
        <v>86.928104575163403</v>
      </c>
      <c r="Q144" s="2">
        <f t="shared" si="10"/>
        <v>10692</v>
      </c>
      <c r="R144" s="5" t="str">
        <f t="shared" si="11"/>
        <v>Above Average</v>
      </c>
      <c r="S144" s="5" t="str">
        <f>Table1[[#This Row],[Quarter]]&amp;" - "&amp;Table1[[#This Row],[City]]</f>
        <v>Q1 - Hyderabad</v>
      </c>
    </row>
    <row r="145" spans="1:19" x14ac:dyDescent="0.3">
      <c r="A145" t="s">
        <v>204</v>
      </c>
      <c r="B145" s="1">
        <v>45346</v>
      </c>
      <c r="C145" t="s">
        <v>135</v>
      </c>
      <c r="D145" t="s">
        <v>14</v>
      </c>
      <c r="E145" t="s">
        <v>34</v>
      </c>
      <c r="F145" t="s">
        <v>47</v>
      </c>
      <c r="G145" t="s">
        <v>51</v>
      </c>
      <c r="H145">
        <v>9</v>
      </c>
      <c r="I145">
        <v>7320</v>
      </c>
      <c r="J145">
        <v>20</v>
      </c>
      <c r="K145">
        <v>52704</v>
      </c>
      <c r="L145" t="s">
        <v>49</v>
      </c>
      <c r="M145" s="2">
        <f>Table1[[#This Row],[Revenue_INR]]-Table1[[#This Row],[Price_INR]]</f>
        <v>45384</v>
      </c>
      <c r="N145">
        <f>YEAR(Table1[[#This Row],[Date]])</f>
        <v>2024</v>
      </c>
      <c r="O145" s="2">
        <f t="shared" si="8"/>
        <v>5856</v>
      </c>
      <c r="P145" s="7">
        <f t="shared" si="9"/>
        <v>86.111111111111114</v>
      </c>
      <c r="Q145" s="2">
        <f t="shared" si="10"/>
        <v>13176</v>
      </c>
      <c r="R145" s="5" t="str">
        <f t="shared" si="11"/>
        <v>Above Average</v>
      </c>
      <c r="S145" s="5" t="str">
        <f>Table1[[#This Row],[Quarter]]&amp;" - "&amp;Table1[[#This Row],[City]]</f>
        <v>Q1 - Delhi</v>
      </c>
    </row>
    <row r="146" spans="1:19" x14ac:dyDescent="0.3">
      <c r="A146" t="s">
        <v>205</v>
      </c>
      <c r="B146" s="1">
        <v>45346</v>
      </c>
      <c r="C146" t="s">
        <v>135</v>
      </c>
      <c r="D146" t="s">
        <v>14</v>
      </c>
      <c r="E146" t="s">
        <v>34</v>
      </c>
      <c r="F146" t="s">
        <v>31</v>
      </c>
      <c r="G146" t="s">
        <v>32</v>
      </c>
      <c r="H146">
        <v>7</v>
      </c>
      <c r="I146">
        <v>3540</v>
      </c>
      <c r="J146">
        <v>30</v>
      </c>
      <c r="K146">
        <v>17346</v>
      </c>
      <c r="L146" t="s">
        <v>49</v>
      </c>
      <c r="M146" s="2">
        <f>Table1[[#This Row],[Revenue_INR]]-Table1[[#This Row],[Price_INR]]</f>
        <v>13806</v>
      </c>
      <c r="N146">
        <f>YEAR(Table1[[#This Row],[Date]])</f>
        <v>2024</v>
      </c>
      <c r="O146" s="2">
        <f t="shared" si="8"/>
        <v>2478</v>
      </c>
      <c r="P146" s="7">
        <f t="shared" si="9"/>
        <v>79.591836734693871</v>
      </c>
      <c r="Q146" s="2">
        <f t="shared" si="10"/>
        <v>7434</v>
      </c>
      <c r="R146" s="5" t="str">
        <f t="shared" si="11"/>
        <v>Below Average</v>
      </c>
      <c r="S146" s="5" t="str">
        <f>Table1[[#This Row],[Quarter]]&amp;" - "&amp;Table1[[#This Row],[City]]</f>
        <v>Q1 - Delhi</v>
      </c>
    </row>
    <row r="147" spans="1:19" x14ac:dyDescent="0.3">
      <c r="A147" t="s">
        <v>206</v>
      </c>
      <c r="B147" s="1">
        <v>45346</v>
      </c>
      <c r="C147" t="s">
        <v>135</v>
      </c>
      <c r="D147" t="s">
        <v>14</v>
      </c>
      <c r="E147" t="s">
        <v>25</v>
      </c>
      <c r="F147" t="s">
        <v>47</v>
      </c>
      <c r="G147" t="s">
        <v>51</v>
      </c>
      <c r="H147">
        <v>6</v>
      </c>
      <c r="I147">
        <v>7180</v>
      </c>
      <c r="J147">
        <v>10</v>
      </c>
      <c r="K147">
        <v>38772</v>
      </c>
      <c r="L147" t="s">
        <v>42</v>
      </c>
      <c r="M147" s="2">
        <f>Table1[[#This Row],[Revenue_INR]]-Table1[[#This Row],[Price_INR]]</f>
        <v>31592</v>
      </c>
      <c r="N147">
        <f>YEAR(Table1[[#This Row],[Date]])</f>
        <v>2024</v>
      </c>
      <c r="O147" s="2">
        <f t="shared" si="8"/>
        <v>6462</v>
      </c>
      <c r="P147" s="7">
        <f t="shared" si="9"/>
        <v>81.481481481481481</v>
      </c>
      <c r="Q147" s="2">
        <f t="shared" si="10"/>
        <v>4308</v>
      </c>
      <c r="R147" s="5" t="str">
        <f t="shared" si="11"/>
        <v>Above Average</v>
      </c>
      <c r="S147" s="5" t="str">
        <f>Table1[[#This Row],[Quarter]]&amp;" - "&amp;Table1[[#This Row],[City]]</f>
        <v>Q1 - Hyderabad</v>
      </c>
    </row>
    <row r="148" spans="1:19" x14ac:dyDescent="0.3">
      <c r="A148" t="s">
        <v>207</v>
      </c>
      <c r="B148" s="1">
        <v>45346</v>
      </c>
      <c r="C148" t="s">
        <v>135</v>
      </c>
      <c r="D148" t="s">
        <v>14</v>
      </c>
      <c r="E148" t="s">
        <v>25</v>
      </c>
      <c r="F148" t="s">
        <v>21</v>
      </c>
      <c r="G148" t="s">
        <v>22</v>
      </c>
      <c r="H148">
        <v>6</v>
      </c>
      <c r="I148">
        <v>3060</v>
      </c>
      <c r="J148">
        <v>5</v>
      </c>
      <c r="K148">
        <v>17442</v>
      </c>
      <c r="L148" t="s">
        <v>42</v>
      </c>
      <c r="M148" s="2">
        <f>Table1[[#This Row],[Revenue_INR]]-Table1[[#This Row],[Price_INR]]</f>
        <v>14382</v>
      </c>
      <c r="N148">
        <f>YEAR(Table1[[#This Row],[Date]])</f>
        <v>2024</v>
      </c>
      <c r="O148" s="2">
        <f t="shared" si="8"/>
        <v>2907</v>
      </c>
      <c r="P148" s="7">
        <f t="shared" si="9"/>
        <v>82.456140350877192</v>
      </c>
      <c r="Q148" s="2">
        <f t="shared" si="10"/>
        <v>918</v>
      </c>
      <c r="R148" s="5" t="str">
        <f t="shared" si="11"/>
        <v>Below Average</v>
      </c>
      <c r="S148" s="5" t="str">
        <f>Table1[[#This Row],[Quarter]]&amp;" - "&amp;Table1[[#This Row],[City]]</f>
        <v>Q1 - Hyderabad</v>
      </c>
    </row>
    <row r="149" spans="1:19" x14ac:dyDescent="0.3">
      <c r="A149" t="s">
        <v>208</v>
      </c>
      <c r="B149" s="1">
        <v>45346</v>
      </c>
      <c r="C149" t="s">
        <v>135</v>
      </c>
      <c r="D149" t="s">
        <v>14</v>
      </c>
      <c r="E149" t="s">
        <v>20</v>
      </c>
      <c r="F149" t="s">
        <v>21</v>
      </c>
      <c r="G149" t="s">
        <v>75</v>
      </c>
      <c r="H149">
        <v>11</v>
      </c>
      <c r="I149">
        <v>2070</v>
      </c>
      <c r="J149">
        <v>0</v>
      </c>
      <c r="K149">
        <v>22770</v>
      </c>
      <c r="L149" t="s">
        <v>23</v>
      </c>
      <c r="M149" s="2">
        <f>Table1[[#This Row],[Revenue_INR]]-Table1[[#This Row],[Price_INR]]</f>
        <v>20700</v>
      </c>
      <c r="N149">
        <f>YEAR(Table1[[#This Row],[Date]])</f>
        <v>2024</v>
      </c>
      <c r="O149" s="2">
        <f t="shared" si="8"/>
        <v>2070</v>
      </c>
      <c r="P149" s="7">
        <f t="shared" si="9"/>
        <v>90.909090909090907</v>
      </c>
      <c r="Q149" s="2">
        <f t="shared" si="10"/>
        <v>0</v>
      </c>
      <c r="R149" s="5" t="str">
        <f t="shared" si="11"/>
        <v>Below Average</v>
      </c>
      <c r="S149" s="5" t="str">
        <f>Table1[[#This Row],[Quarter]]&amp;" - "&amp;Table1[[#This Row],[City]]</f>
        <v>Q1 - Mumbai</v>
      </c>
    </row>
    <row r="150" spans="1:19" x14ac:dyDescent="0.3">
      <c r="A150" t="s">
        <v>209</v>
      </c>
      <c r="B150" s="1">
        <v>45347</v>
      </c>
      <c r="C150" t="s">
        <v>135</v>
      </c>
      <c r="D150" t="s">
        <v>14</v>
      </c>
      <c r="E150" t="s">
        <v>34</v>
      </c>
      <c r="F150" t="s">
        <v>60</v>
      </c>
      <c r="G150" t="s">
        <v>61</v>
      </c>
      <c r="H150">
        <v>6</v>
      </c>
      <c r="I150">
        <v>640</v>
      </c>
      <c r="J150">
        <v>25</v>
      </c>
      <c r="K150">
        <v>2880</v>
      </c>
      <c r="L150" t="s">
        <v>36</v>
      </c>
      <c r="M150" s="2">
        <f>Table1[[#This Row],[Revenue_INR]]-Table1[[#This Row],[Price_INR]]</f>
        <v>2240</v>
      </c>
      <c r="N150">
        <f>YEAR(Table1[[#This Row],[Date]])</f>
        <v>2024</v>
      </c>
      <c r="O150" s="2">
        <f t="shared" si="8"/>
        <v>480</v>
      </c>
      <c r="P150" s="7">
        <f t="shared" si="9"/>
        <v>77.777777777777786</v>
      </c>
      <c r="Q150" s="2">
        <f t="shared" si="10"/>
        <v>960</v>
      </c>
      <c r="R150" s="5" t="str">
        <f t="shared" si="11"/>
        <v>Below Average</v>
      </c>
      <c r="S150" s="5" t="str">
        <f>Table1[[#This Row],[Quarter]]&amp;" - "&amp;Table1[[#This Row],[City]]</f>
        <v>Q1 - Delhi</v>
      </c>
    </row>
    <row r="151" spans="1:19" x14ac:dyDescent="0.3">
      <c r="A151" t="s">
        <v>210</v>
      </c>
      <c r="B151" s="1">
        <v>45347</v>
      </c>
      <c r="C151" t="s">
        <v>135</v>
      </c>
      <c r="D151" t="s">
        <v>14</v>
      </c>
      <c r="E151" t="s">
        <v>20</v>
      </c>
      <c r="F151" t="s">
        <v>60</v>
      </c>
      <c r="G151" t="s">
        <v>124</v>
      </c>
      <c r="H151">
        <v>13</v>
      </c>
      <c r="I151">
        <v>1980</v>
      </c>
      <c r="J151">
        <v>30</v>
      </c>
      <c r="K151">
        <v>18018</v>
      </c>
      <c r="L151" t="s">
        <v>39</v>
      </c>
      <c r="M151" s="2">
        <f>Table1[[#This Row],[Revenue_INR]]-Table1[[#This Row],[Price_INR]]</f>
        <v>16038</v>
      </c>
      <c r="N151">
        <f>YEAR(Table1[[#This Row],[Date]])</f>
        <v>2024</v>
      </c>
      <c r="O151" s="2">
        <f t="shared" si="8"/>
        <v>1386</v>
      </c>
      <c r="P151" s="7">
        <f t="shared" si="9"/>
        <v>89.010989010989007</v>
      </c>
      <c r="Q151" s="2">
        <f t="shared" si="10"/>
        <v>7722</v>
      </c>
      <c r="R151" s="5" t="str">
        <f t="shared" si="11"/>
        <v>Below Average</v>
      </c>
      <c r="S151" s="5" t="str">
        <f>Table1[[#This Row],[Quarter]]&amp;" - "&amp;Table1[[#This Row],[City]]</f>
        <v>Q1 - Mumbai</v>
      </c>
    </row>
    <row r="152" spans="1:19" x14ac:dyDescent="0.3">
      <c r="A152" t="s">
        <v>211</v>
      </c>
      <c r="B152" s="1">
        <v>45347</v>
      </c>
      <c r="C152" t="s">
        <v>135</v>
      </c>
      <c r="D152" t="s">
        <v>14</v>
      </c>
      <c r="E152" t="s">
        <v>34</v>
      </c>
      <c r="F152" t="s">
        <v>26</v>
      </c>
      <c r="G152" t="s">
        <v>80</v>
      </c>
      <c r="H152">
        <v>1</v>
      </c>
      <c r="I152">
        <v>8330</v>
      </c>
      <c r="J152">
        <v>25</v>
      </c>
      <c r="K152">
        <v>6247.5</v>
      </c>
      <c r="L152" t="s">
        <v>36</v>
      </c>
      <c r="M152" s="2">
        <f>Table1[[#This Row],[Revenue_INR]]-Table1[[#This Row],[Price_INR]]</f>
        <v>-2082.5</v>
      </c>
      <c r="N152">
        <f>YEAR(Table1[[#This Row],[Date]])</f>
        <v>2024</v>
      </c>
      <c r="O152" s="2">
        <f t="shared" si="8"/>
        <v>6247.5</v>
      </c>
      <c r="P152" s="7">
        <f t="shared" si="9"/>
        <v>-33.333333333333329</v>
      </c>
      <c r="Q152" s="2">
        <f t="shared" si="10"/>
        <v>2082.5</v>
      </c>
      <c r="R152" s="5" t="str">
        <f t="shared" si="11"/>
        <v>Below Average</v>
      </c>
      <c r="S152" s="5" t="str">
        <f>Table1[[#This Row],[Quarter]]&amp;" - "&amp;Table1[[#This Row],[City]]</f>
        <v>Q1 - Delhi</v>
      </c>
    </row>
    <row r="153" spans="1:19" x14ac:dyDescent="0.3">
      <c r="A153" t="s">
        <v>212</v>
      </c>
      <c r="B153" s="1">
        <v>45347</v>
      </c>
      <c r="C153" t="s">
        <v>135</v>
      </c>
      <c r="D153" t="s">
        <v>14</v>
      </c>
      <c r="E153" t="s">
        <v>20</v>
      </c>
      <c r="F153" t="s">
        <v>16</v>
      </c>
      <c r="G153" t="s">
        <v>17</v>
      </c>
      <c r="H153">
        <v>2</v>
      </c>
      <c r="I153">
        <v>1190</v>
      </c>
      <c r="J153">
        <v>0</v>
      </c>
      <c r="K153">
        <v>2380</v>
      </c>
      <c r="L153" t="s">
        <v>23</v>
      </c>
      <c r="M153" s="2">
        <f>Table1[[#This Row],[Revenue_INR]]-Table1[[#This Row],[Price_INR]]</f>
        <v>1190</v>
      </c>
      <c r="N153">
        <f>YEAR(Table1[[#This Row],[Date]])</f>
        <v>2024</v>
      </c>
      <c r="O153" s="2">
        <f t="shared" si="8"/>
        <v>1190</v>
      </c>
      <c r="P153" s="7">
        <f t="shared" si="9"/>
        <v>50</v>
      </c>
      <c r="Q153" s="2">
        <f t="shared" si="10"/>
        <v>0</v>
      </c>
      <c r="R153" s="5" t="str">
        <f t="shared" si="11"/>
        <v>Below Average</v>
      </c>
      <c r="S153" s="5" t="str">
        <f>Table1[[#This Row],[Quarter]]&amp;" - "&amp;Table1[[#This Row],[City]]</f>
        <v>Q1 - Mumbai</v>
      </c>
    </row>
    <row r="154" spans="1:19" x14ac:dyDescent="0.3">
      <c r="A154" t="s">
        <v>213</v>
      </c>
      <c r="B154" s="1">
        <v>45347</v>
      </c>
      <c r="C154" t="s">
        <v>135</v>
      </c>
      <c r="D154" t="s">
        <v>14</v>
      </c>
      <c r="E154" t="s">
        <v>20</v>
      </c>
      <c r="F154" t="s">
        <v>31</v>
      </c>
      <c r="G154" t="s">
        <v>32</v>
      </c>
      <c r="H154">
        <v>5</v>
      </c>
      <c r="I154">
        <v>3900</v>
      </c>
      <c r="J154">
        <v>0</v>
      </c>
      <c r="K154">
        <v>19500</v>
      </c>
      <c r="L154" t="s">
        <v>77</v>
      </c>
      <c r="M154" s="2">
        <f>Table1[[#This Row],[Revenue_INR]]-Table1[[#This Row],[Price_INR]]</f>
        <v>15600</v>
      </c>
      <c r="N154">
        <f>YEAR(Table1[[#This Row],[Date]])</f>
        <v>2024</v>
      </c>
      <c r="O154" s="2">
        <f t="shared" si="8"/>
        <v>3900</v>
      </c>
      <c r="P154" s="7">
        <f t="shared" si="9"/>
        <v>80</v>
      </c>
      <c r="Q154" s="2">
        <f t="shared" si="10"/>
        <v>0</v>
      </c>
      <c r="R154" s="5" t="str">
        <f t="shared" si="11"/>
        <v>Below Average</v>
      </c>
      <c r="S154" s="5" t="str">
        <f>Table1[[#This Row],[Quarter]]&amp;" - "&amp;Table1[[#This Row],[City]]</f>
        <v>Q1 - Mumbai</v>
      </c>
    </row>
    <row r="155" spans="1:19" x14ac:dyDescent="0.3">
      <c r="A155" t="s">
        <v>214</v>
      </c>
      <c r="B155" s="1">
        <v>45348</v>
      </c>
      <c r="C155" t="s">
        <v>135</v>
      </c>
      <c r="D155" t="s">
        <v>14</v>
      </c>
      <c r="E155" t="s">
        <v>15</v>
      </c>
      <c r="F155" t="s">
        <v>31</v>
      </c>
      <c r="G155" t="s">
        <v>32</v>
      </c>
      <c r="H155">
        <v>11</v>
      </c>
      <c r="I155">
        <v>1010</v>
      </c>
      <c r="J155">
        <v>0</v>
      </c>
      <c r="K155">
        <v>11110</v>
      </c>
      <c r="L155" t="s">
        <v>18</v>
      </c>
      <c r="M155" s="2">
        <f>Table1[[#This Row],[Revenue_INR]]-Table1[[#This Row],[Price_INR]]</f>
        <v>10100</v>
      </c>
      <c r="N155">
        <f>YEAR(Table1[[#This Row],[Date]])</f>
        <v>2024</v>
      </c>
      <c r="O155" s="2">
        <f t="shared" si="8"/>
        <v>1010</v>
      </c>
      <c r="P155" s="7">
        <f t="shared" si="9"/>
        <v>90.909090909090907</v>
      </c>
      <c r="Q155" s="2">
        <f t="shared" si="10"/>
        <v>0</v>
      </c>
      <c r="R155" s="5" t="str">
        <f t="shared" si="11"/>
        <v>Below Average</v>
      </c>
      <c r="S155" s="5" t="str">
        <f>Table1[[#This Row],[Quarter]]&amp;" - "&amp;Table1[[#This Row],[City]]</f>
        <v>Q1 - Kolkata</v>
      </c>
    </row>
    <row r="156" spans="1:19" x14ac:dyDescent="0.3">
      <c r="A156" t="s">
        <v>215</v>
      </c>
      <c r="B156" s="1">
        <v>45349</v>
      </c>
      <c r="C156" t="s">
        <v>135</v>
      </c>
      <c r="D156" t="s">
        <v>14</v>
      </c>
      <c r="E156" t="s">
        <v>25</v>
      </c>
      <c r="F156" t="s">
        <v>26</v>
      </c>
      <c r="G156" t="s">
        <v>27</v>
      </c>
      <c r="H156">
        <v>5</v>
      </c>
      <c r="I156">
        <v>4660</v>
      </c>
      <c r="J156">
        <v>0</v>
      </c>
      <c r="K156">
        <v>23300</v>
      </c>
      <c r="L156" t="s">
        <v>66</v>
      </c>
      <c r="M156" s="2">
        <f>Table1[[#This Row],[Revenue_INR]]-Table1[[#This Row],[Price_INR]]</f>
        <v>18640</v>
      </c>
      <c r="N156">
        <f>YEAR(Table1[[#This Row],[Date]])</f>
        <v>2024</v>
      </c>
      <c r="O156" s="2">
        <f t="shared" si="8"/>
        <v>4660</v>
      </c>
      <c r="P156" s="7">
        <f t="shared" si="9"/>
        <v>80</v>
      </c>
      <c r="Q156" s="2">
        <f t="shared" si="10"/>
        <v>0</v>
      </c>
      <c r="R156" s="5" t="str">
        <f t="shared" si="11"/>
        <v>Below Average</v>
      </c>
      <c r="S156" s="5" t="str">
        <f>Table1[[#This Row],[Quarter]]&amp;" - "&amp;Table1[[#This Row],[City]]</f>
        <v>Q1 - Hyderabad</v>
      </c>
    </row>
    <row r="157" spans="1:19" x14ac:dyDescent="0.3">
      <c r="A157" t="s">
        <v>216</v>
      </c>
      <c r="B157" s="1">
        <v>45350</v>
      </c>
      <c r="C157" t="s">
        <v>135</v>
      </c>
      <c r="D157" t="s">
        <v>14</v>
      </c>
      <c r="E157" t="s">
        <v>25</v>
      </c>
      <c r="F157" t="s">
        <v>31</v>
      </c>
      <c r="G157" t="s">
        <v>131</v>
      </c>
      <c r="H157">
        <v>2</v>
      </c>
      <c r="I157">
        <v>3760</v>
      </c>
      <c r="J157">
        <v>5</v>
      </c>
      <c r="K157">
        <v>7144</v>
      </c>
      <c r="L157" t="s">
        <v>28</v>
      </c>
      <c r="M157" s="2">
        <f>Table1[[#This Row],[Revenue_INR]]-Table1[[#This Row],[Price_INR]]</f>
        <v>3384</v>
      </c>
      <c r="N157">
        <f>YEAR(Table1[[#This Row],[Date]])</f>
        <v>2024</v>
      </c>
      <c r="O157" s="2">
        <f t="shared" si="8"/>
        <v>3572</v>
      </c>
      <c r="P157" s="7">
        <f t="shared" si="9"/>
        <v>47.368421052631575</v>
      </c>
      <c r="Q157" s="2">
        <f t="shared" si="10"/>
        <v>376</v>
      </c>
      <c r="R157" s="5" t="str">
        <f t="shared" si="11"/>
        <v>Below Average</v>
      </c>
      <c r="S157" s="5" t="str">
        <f>Table1[[#This Row],[Quarter]]&amp;" - "&amp;Table1[[#This Row],[City]]</f>
        <v>Q1 - Hyderabad</v>
      </c>
    </row>
    <row r="158" spans="1:19" x14ac:dyDescent="0.3">
      <c r="A158" t="s">
        <v>217</v>
      </c>
      <c r="B158" s="1">
        <v>45350</v>
      </c>
      <c r="C158" t="s">
        <v>135</v>
      </c>
      <c r="D158" t="s">
        <v>14</v>
      </c>
      <c r="E158" t="s">
        <v>25</v>
      </c>
      <c r="F158" t="s">
        <v>60</v>
      </c>
      <c r="G158" t="s">
        <v>85</v>
      </c>
      <c r="H158">
        <v>8</v>
      </c>
      <c r="I158">
        <v>1050</v>
      </c>
      <c r="J158">
        <v>25</v>
      </c>
      <c r="K158">
        <v>6300</v>
      </c>
      <c r="L158" t="s">
        <v>66</v>
      </c>
      <c r="M158" s="2">
        <f>Table1[[#This Row],[Revenue_INR]]-Table1[[#This Row],[Price_INR]]</f>
        <v>5250</v>
      </c>
      <c r="N158">
        <f>YEAR(Table1[[#This Row],[Date]])</f>
        <v>2024</v>
      </c>
      <c r="O158" s="2">
        <f t="shared" si="8"/>
        <v>787.5</v>
      </c>
      <c r="P158" s="7">
        <f t="shared" si="9"/>
        <v>83.333333333333343</v>
      </c>
      <c r="Q158" s="2">
        <f t="shared" si="10"/>
        <v>2100</v>
      </c>
      <c r="R158" s="5" t="str">
        <f t="shared" si="11"/>
        <v>Below Average</v>
      </c>
      <c r="S158" s="5" t="str">
        <f>Table1[[#This Row],[Quarter]]&amp;" - "&amp;Table1[[#This Row],[City]]</f>
        <v>Q1 - Hyderabad</v>
      </c>
    </row>
    <row r="159" spans="1:19" x14ac:dyDescent="0.3">
      <c r="A159" t="s">
        <v>218</v>
      </c>
      <c r="B159" s="1">
        <v>45350</v>
      </c>
      <c r="C159" t="s">
        <v>135</v>
      </c>
      <c r="D159" t="s">
        <v>14</v>
      </c>
      <c r="E159" t="s">
        <v>15</v>
      </c>
      <c r="F159" t="s">
        <v>21</v>
      </c>
      <c r="G159" t="s">
        <v>75</v>
      </c>
      <c r="H159">
        <v>9</v>
      </c>
      <c r="I159">
        <v>1740</v>
      </c>
      <c r="J159">
        <v>10</v>
      </c>
      <c r="K159">
        <v>14094</v>
      </c>
      <c r="L159" t="s">
        <v>53</v>
      </c>
      <c r="M159" s="2">
        <f>Table1[[#This Row],[Revenue_INR]]-Table1[[#This Row],[Price_INR]]</f>
        <v>12354</v>
      </c>
      <c r="N159">
        <f>YEAR(Table1[[#This Row],[Date]])</f>
        <v>2024</v>
      </c>
      <c r="O159" s="2">
        <f t="shared" si="8"/>
        <v>1566</v>
      </c>
      <c r="P159" s="7">
        <f t="shared" si="9"/>
        <v>87.654320987654316</v>
      </c>
      <c r="Q159" s="2">
        <f t="shared" si="10"/>
        <v>1566</v>
      </c>
      <c r="R159" s="5" t="str">
        <f t="shared" si="11"/>
        <v>Below Average</v>
      </c>
      <c r="S159" s="5" t="str">
        <f>Table1[[#This Row],[Quarter]]&amp;" - "&amp;Table1[[#This Row],[City]]</f>
        <v>Q1 - Kolkata</v>
      </c>
    </row>
    <row r="160" spans="1:19" x14ac:dyDescent="0.3">
      <c r="A160" t="s">
        <v>219</v>
      </c>
      <c r="B160" s="1">
        <v>45350</v>
      </c>
      <c r="C160" t="s">
        <v>135</v>
      </c>
      <c r="D160" t="s">
        <v>14</v>
      </c>
      <c r="E160" t="s">
        <v>20</v>
      </c>
      <c r="F160" t="s">
        <v>26</v>
      </c>
      <c r="G160" t="s">
        <v>82</v>
      </c>
      <c r="H160">
        <v>4</v>
      </c>
      <c r="I160">
        <v>5710</v>
      </c>
      <c r="J160">
        <v>15</v>
      </c>
      <c r="K160">
        <v>19414</v>
      </c>
      <c r="L160" t="s">
        <v>23</v>
      </c>
      <c r="M160" s="2">
        <f>Table1[[#This Row],[Revenue_INR]]-Table1[[#This Row],[Price_INR]]</f>
        <v>13704</v>
      </c>
      <c r="N160">
        <f>YEAR(Table1[[#This Row],[Date]])</f>
        <v>2024</v>
      </c>
      <c r="O160" s="2">
        <f t="shared" si="8"/>
        <v>4853.5</v>
      </c>
      <c r="P160" s="7">
        <f t="shared" si="9"/>
        <v>70.588235294117652</v>
      </c>
      <c r="Q160" s="2">
        <f t="shared" si="10"/>
        <v>3426</v>
      </c>
      <c r="R160" s="5" t="str">
        <f t="shared" si="11"/>
        <v>Below Average</v>
      </c>
      <c r="S160" s="5" t="str">
        <f>Table1[[#This Row],[Quarter]]&amp;" - "&amp;Table1[[#This Row],[City]]</f>
        <v>Q1 - Mumbai</v>
      </c>
    </row>
    <row r="161" spans="1:19" x14ac:dyDescent="0.3">
      <c r="A161" t="s">
        <v>220</v>
      </c>
      <c r="B161" s="1">
        <v>45350</v>
      </c>
      <c r="C161" t="s">
        <v>135</v>
      </c>
      <c r="D161" t="s">
        <v>14</v>
      </c>
      <c r="E161" t="s">
        <v>34</v>
      </c>
      <c r="F161" t="s">
        <v>47</v>
      </c>
      <c r="G161" t="s">
        <v>55</v>
      </c>
      <c r="H161">
        <v>3</v>
      </c>
      <c r="I161">
        <v>3910</v>
      </c>
      <c r="J161">
        <v>10</v>
      </c>
      <c r="K161">
        <v>10557</v>
      </c>
      <c r="L161" t="s">
        <v>45</v>
      </c>
      <c r="M161" s="2">
        <f>Table1[[#This Row],[Revenue_INR]]-Table1[[#This Row],[Price_INR]]</f>
        <v>6647</v>
      </c>
      <c r="N161">
        <f>YEAR(Table1[[#This Row],[Date]])</f>
        <v>2024</v>
      </c>
      <c r="O161" s="2">
        <f t="shared" si="8"/>
        <v>3519</v>
      </c>
      <c r="P161" s="7">
        <f t="shared" si="9"/>
        <v>62.962962962962962</v>
      </c>
      <c r="Q161" s="2">
        <f t="shared" si="10"/>
        <v>1173</v>
      </c>
      <c r="R161" s="5" t="str">
        <f t="shared" si="11"/>
        <v>Below Average</v>
      </c>
      <c r="S161" s="5" t="str">
        <f>Table1[[#This Row],[Quarter]]&amp;" - "&amp;Table1[[#This Row],[City]]</f>
        <v>Q1 - Delhi</v>
      </c>
    </row>
    <row r="162" spans="1:19" x14ac:dyDescent="0.3">
      <c r="A162" t="s">
        <v>221</v>
      </c>
      <c r="B162" s="1">
        <v>45351</v>
      </c>
      <c r="C162" t="s">
        <v>135</v>
      </c>
      <c r="D162" t="s">
        <v>14</v>
      </c>
      <c r="E162" t="s">
        <v>20</v>
      </c>
      <c r="F162" t="s">
        <v>16</v>
      </c>
      <c r="G162" t="s">
        <v>44</v>
      </c>
      <c r="H162">
        <v>4</v>
      </c>
      <c r="I162">
        <v>1140</v>
      </c>
      <c r="J162">
        <v>10</v>
      </c>
      <c r="K162">
        <v>4104</v>
      </c>
      <c r="L162" t="s">
        <v>39</v>
      </c>
      <c r="M162" s="2">
        <f>Table1[[#This Row],[Revenue_INR]]-Table1[[#This Row],[Price_INR]]</f>
        <v>2964</v>
      </c>
      <c r="N162">
        <f>YEAR(Table1[[#This Row],[Date]])</f>
        <v>2024</v>
      </c>
      <c r="O162" s="2">
        <f t="shared" si="8"/>
        <v>1026</v>
      </c>
      <c r="P162" s="7">
        <f t="shared" si="9"/>
        <v>72.222222222222214</v>
      </c>
      <c r="Q162" s="2">
        <f t="shared" si="10"/>
        <v>456</v>
      </c>
      <c r="R162" s="5" t="str">
        <f t="shared" si="11"/>
        <v>Below Average</v>
      </c>
      <c r="S162" s="5" t="str">
        <f>Table1[[#This Row],[Quarter]]&amp;" - "&amp;Table1[[#This Row],[City]]</f>
        <v>Q1 - Mumbai</v>
      </c>
    </row>
    <row r="163" spans="1:19" x14ac:dyDescent="0.3">
      <c r="A163" t="s">
        <v>222</v>
      </c>
      <c r="B163" s="1">
        <v>45352</v>
      </c>
      <c r="C163" t="s">
        <v>223</v>
      </c>
      <c r="D163" t="s">
        <v>14</v>
      </c>
      <c r="E163" t="s">
        <v>25</v>
      </c>
      <c r="F163" t="s">
        <v>16</v>
      </c>
      <c r="G163" t="s">
        <v>44</v>
      </c>
      <c r="H163">
        <v>9</v>
      </c>
      <c r="I163">
        <v>1160</v>
      </c>
      <c r="J163">
        <v>20</v>
      </c>
      <c r="K163">
        <v>8352</v>
      </c>
      <c r="L163" t="s">
        <v>42</v>
      </c>
      <c r="M163" s="2">
        <f>Table1[[#This Row],[Revenue_INR]]-Table1[[#This Row],[Price_INR]]</f>
        <v>7192</v>
      </c>
      <c r="N163">
        <f>YEAR(Table1[[#This Row],[Date]])</f>
        <v>2024</v>
      </c>
      <c r="O163" s="2">
        <f t="shared" si="8"/>
        <v>928</v>
      </c>
      <c r="P163" s="7">
        <f t="shared" si="9"/>
        <v>86.111111111111114</v>
      </c>
      <c r="Q163" s="2">
        <f t="shared" si="10"/>
        <v>2088</v>
      </c>
      <c r="R163" s="5" t="str">
        <f t="shared" si="11"/>
        <v>Below Average</v>
      </c>
      <c r="S163" s="5" t="str">
        <f>Table1[[#This Row],[Quarter]]&amp;" - "&amp;Table1[[#This Row],[City]]</f>
        <v>Q1 - Hyderabad</v>
      </c>
    </row>
    <row r="164" spans="1:19" x14ac:dyDescent="0.3">
      <c r="A164" t="s">
        <v>224</v>
      </c>
      <c r="B164" s="1">
        <v>45352</v>
      </c>
      <c r="C164" t="s">
        <v>223</v>
      </c>
      <c r="D164" t="s">
        <v>14</v>
      </c>
      <c r="E164" t="s">
        <v>25</v>
      </c>
      <c r="F164" t="s">
        <v>21</v>
      </c>
      <c r="G164" t="s">
        <v>22</v>
      </c>
      <c r="H164">
        <v>12</v>
      </c>
      <c r="I164">
        <v>1780</v>
      </c>
      <c r="J164">
        <v>30</v>
      </c>
      <c r="K164">
        <v>14952</v>
      </c>
      <c r="L164" t="s">
        <v>66</v>
      </c>
      <c r="M164" s="2">
        <f>Table1[[#This Row],[Revenue_INR]]-Table1[[#This Row],[Price_INR]]</f>
        <v>13172</v>
      </c>
      <c r="N164">
        <f>YEAR(Table1[[#This Row],[Date]])</f>
        <v>2024</v>
      </c>
      <c r="O164" s="2">
        <f t="shared" si="8"/>
        <v>1246</v>
      </c>
      <c r="P164" s="7">
        <f t="shared" si="9"/>
        <v>88.095238095238088</v>
      </c>
      <c r="Q164" s="2">
        <f t="shared" si="10"/>
        <v>6408</v>
      </c>
      <c r="R164" s="5" t="str">
        <f t="shared" si="11"/>
        <v>Below Average</v>
      </c>
      <c r="S164" s="5" t="str">
        <f>Table1[[#This Row],[Quarter]]&amp;" - "&amp;Table1[[#This Row],[City]]</f>
        <v>Q1 - Hyderabad</v>
      </c>
    </row>
    <row r="165" spans="1:19" x14ac:dyDescent="0.3">
      <c r="A165" t="s">
        <v>225</v>
      </c>
      <c r="B165" s="1">
        <v>45352</v>
      </c>
      <c r="C165" t="s">
        <v>223</v>
      </c>
      <c r="D165" t="s">
        <v>14</v>
      </c>
      <c r="E165" t="s">
        <v>20</v>
      </c>
      <c r="F165" t="s">
        <v>16</v>
      </c>
      <c r="G165" t="s">
        <v>44</v>
      </c>
      <c r="H165">
        <v>7</v>
      </c>
      <c r="I165">
        <v>1650</v>
      </c>
      <c r="J165">
        <v>20</v>
      </c>
      <c r="K165">
        <v>9240</v>
      </c>
      <c r="L165" t="s">
        <v>23</v>
      </c>
      <c r="M165" s="2">
        <f>Table1[[#This Row],[Revenue_INR]]-Table1[[#This Row],[Price_INR]]</f>
        <v>7590</v>
      </c>
      <c r="N165">
        <f>YEAR(Table1[[#This Row],[Date]])</f>
        <v>2024</v>
      </c>
      <c r="O165" s="2">
        <f t="shared" si="8"/>
        <v>1320</v>
      </c>
      <c r="P165" s="7">
        <f t="shared" si="9"/>
        <v>82.142857142857139</v>
      </c>
      <c r="Q165" s="2">
        <f t="shared" si="10"/>
        <v>2310</v>
      </c>
      <c r="R165" s="5" t="str">
        <f t="shared" si="11"/>
        <v>Below Average</v>
      </c>
      <c r="S165" s="5" t="str">
        <f>Table1[[#This Row],[Quarter]]&amp;" - "&amp;Table1[[#This Row],[City]]</f>
        <v>Q1 - Mumbai</v>
      </c>
    </row>
    <row r="166" spans="1:19" x14ac:dyDescent="0.3">
      <c r="A166" t="s">
        <v>226</v>
      </c>
      <c r="B166" s="1">
        <v>45352</v>
      </c>
      <c r="C166" t="s">
        <v>223</v>
      </c>
      <c r="D166" t="s">
        <v>14</v>
      </c>
      <c r="E166" t="s">
        <v>34</v>
      </c>
      <c r="F166" t="s">
        <v>31</v>
      </c>
      <c r="G166" t="s">
        <v>38</v>
      </c>
      <c r="H166">
        <v>8</v>
      </c>
      <c r="I166">
        <v>3930</v>
      </c>
      <c r="J166">
        <v>30</v>
      </c>
      <c r="K166">
        <v>22008</v>
      </c>
      <c r="L166" t="s">
        <v>49</v>
      </c>
      <c r="M166" s="2">
        <f>Table1[[#This Row],[Revenue_INR]]-Table1[[#This Row],[Price_INR]]</f>
        <v>18078</v>
      </c>
      <c r="N166">
        <f>YEAR(Table1[[#This Row],[Date]])</f>
        <v>2024</v>
      </c>
      <c r="O166" s="2">
        <f t="shared" si="8"/>
        <v>2751</v>
      </c>
      <c r="P166" s="7">
        <f t="shared" si="9"/>
        <v>82.142857142857139</v>
      </c>
      <c r="Q166" s="2">
        <f t="shared" si="10"/>
        <v>9432</v>
      </c>
      <c r="R166" s="5" t="str">
        <f t="shared" si="11"/>
        <v>Below Average</v>
      </c>
      <c r="S166" s="5" t="str">
        <f>Table1[[#This Row],[Quarter]]&amp;" - "&amp;Table1[[#This Row],[City]]</f>
        <v>Q1 - Delhi</v>
      </c>
    </row>
    <row r="167" spans="1:19" x14ac:dyDescent="0.3">
      <c r="A167" t="s">
        <v>227</v>
      </c>
      <c r="B167" s="1">
        <v>45352</v>
      </c>
      <c r="C167" t="s">
        <v>223</v>
      </c>
      <c r="D167" t="s">
        <v>14</v>
      </c>
      <c r="E167" t="s">
        <v>20</v>
      </c>
      <c r="F167" t="s">
        <v>31</v>
      </c>
      <c r="G167" t="s">
        <v>38</v>
      </c>
      <c r="H167">
        <v>1</v>
      </c>
      <c r="I167">
        <v>4460</v>
      </c>
      <c r="J167">
        <v>25</v>
      </c>
      <c r="K167">
        <v>3345</v>
      </c>
      <c r="L167" t="s">
        <v>23</v>
      </c>
      <c r="M167" s="2">
        <f>Table1[[#This Row],[Revenue_INR]]-Table1[[#This Row],[Price_INR]]</f>
        <v>-1115</v>
      </c>
      <c r="N167">
        <f>YEAR(Table1[[#This Row],[Date]])</f>
        <v>2024</v>
      </c>
      <c r="O167" s="2">
        <f t="shared" si="8"/>
        <v>3345</v>
      </c>
      <c r="P167" s="7">
        <f t="shared" si="9"/>
        <v>-33.333333333333329</v>
      </c>
      <c r="Q167" s="2">
        <f t="shared" si="10"/>
        <v>1115</v>
      </c>
      <c r="R167" s="5" t="str">
        <f t="shared" si="11"/>
        <v>Below Average</v>
      </c>
      <c r="S167" s="5" t="str">
        <f>Table1[[#This Row],[Quarter]]&amp;" - "&amp;Table1[[#This Row],[City]]</f>
        <v>Q1 - Mumbai</v>
      </c>
    </row>
    <row r="168" spans="1:19" x14ac:dyDescent="0.3">
      <c r="A168" t="s">
        <v>228</v>
      </c>
      <c r="B168" s="1">
        <v>45353</v>
      </c>
      <c r="C168" t="s">
        <v>223</v>
      </c>
      <c r="D168" t="s">
        <v>14</v>
      </c>
      <c r="E168" t="s">
        <v>20</v>
      </c>
      <c r="F168" t="s">
        <v>31</v>
      </c>
      <c r="G168" t="s">
        <v>38</v>
      </c>
      <c r="H168">
        <v>7</v>
      </c>
      <c r="I168">
        <v>5400</v>
      </c>
      <c r="J168">
        <v>15</v>
      </c>
      <c r="K168">
        <v>32130</v>
      </c>
      <c r="L168" t="s">
        <v>39</v>
      </c>
      <c r="M168" s="2">
        <f>Table1[[#This Row],[Revenue_INR]]-Table1[[#This Row],[Price_INR]]</f>
        <v>26730</v>
      </c>
      <c r="N168">
        <f>YEAR(Table1[[#This Row],[Date]])</f>
        <v>2024</v>
      </c>
      <c r="O168" s="2">
        <f t="shared" si="8"/>
        <v>4590</v>
      </c>
      <c r="P168" s="7">
        <f t="shared" si="9"/>
        <v>83.193277310924373</v>
      </c>
      <c r="Q168" s="2">
        <f t="shared" si="10"/>
        <v>5670</v>
      </c>
      <c r="R168" s="5" t="str">
        <f t="shared" si="11"/>
        <v>Above Average</v>
      </c>
      <c r="S168" s="5" t="str">
        <f>Table1[[#This Row],[Quarter]]&amp;" - "&amp;Table1[[#This Row],[City]]</f>
        <v>Q1 - Mumbai</v>
      </c>
    </row>
    <row r="169" spans="1:19" x14ac:dyDescent="0.3">
      <c r="A169" t="s">
        <v>229</v>
      </c>
      <c r="B169" s="1">
        <v>45353</v>
      </c>
      <c r="C169" t="s">
        <v>223</v>
      </c>
      <c r="D169" t="s">
        <v>14</v>
      </c>
      <c r="E169" t="s">
        <v>20</v>
      </c>
      <c r="F169" t="s">
        <v>16</v>
      </c>
      <c r="G169" t="s">
        <v>17</v>
      </c>
      <c r="H169">
        <v>10</v>
      </c>
      <c r="I169">
        <v>2590</v>
      </c>
      <c r="J169">
        <v>30</v>
      </c>
      <c r="K169">
        <v>18130</v>
      </c>
      <c r="L169" t="s">
        <v>77</v>
      </c>
      <c r="M169" s="2">
        <f>Table1[[#This Row],[Revenue_INR]]-Table1[[#This Row],[Price_INR]]</f>
        <v>15540</v>
      </c>
      <c r="N169">
        <f>YEAR(Table1[[#This Row],[Date]])</f>
        <v>2024</v>
      </c>
      <c r="O169" s="2">
        <f t="shared" si="8"/>
        <v>1813</v>
      </c>
      <c r="P169" s="7">
        <f t="shared" si="9"/>
        <v>85.714285714285708</v>
      </c>
      <c r="Q169" s="2">
        <f t="shared" si="10"/>
        <v>7770</v>
      </c>
      <c r="R169" s="5" t="str">
        <f t="shared" si="11"/>
        <v>Below Average</v>
      </c>
      <c r="S169" s="5" t="str">
        <f>Table1[[#This Row],[Quarter]]&amp;" - "&amp;Table1[[#This Row],[City]]</f>
        <v>Q1 - Mumbai</v>
      </c>
    </row>
    <row r="170" spans="1:19" x14ac:dyDescent="0.3">
      <c r="A170" t="s">
        <v>230</v>
      </c>
      <c r="B170" s="1">
        <v>45353</v>
      </c>
      <c r="C170" t="s">
        <v>223</v>
      </c>
      <c r="D170" t="s">
        <v>14</v>
      </c>
      <c r="E170" t="s">
        <v>20</v>
      </c>
      <c r="F170" t="s">
        <v>16</v>
      </c>
      <c r="G170" t="s">
        <v>69</v>
      </c>
      <c r="H170">
        <v>4</v>
      </c>
      <c r="I170">
        <v>1570</v>
      </c>
      <c r="J170">
        <v>20</v>
      </c>
      <c r="K170">
        <v>5024</v>
      </c>
      <c r="L170" t="s">
        <v>77</v>
      </c>
      <c r="M170" s="2">
        <f>Table1[[#This Row],[Revenue_INR]]-Table1[[#This Row],[Price_INR]]</f>
        <v>3454</v>
      </c>
      <c r="N170">
        <f>YEAR(Table1[[#This Row],[Date]])</f>
        <v>2024</v>
      </c>
      <c r="O170" s="2">
        <f t="shared" si="8"/>
        <v>1256</v>
      </c>
      <c r="P170" s="7">
        <f t="shared" si="9"/>
        <v>68.75</v>
      </c>
      <c r="Q170" s="2">
        <f t="shared" si="10"/>
        <v>1256</v>
      </c>
      <c r="R170" s="5" t="str">
        <f t="shared" si="11"/>
        <v>Below Average</v>
      </c>
      <c r="S170" s="5" t="str">
        <f>Table1[[#This Row],[Quarter]]&amp;" - "&amp;Table1[[#This Row],[City]]</f>
        <v>Q1 - Mumbai</v>
      </c>
    </row>
    <row r="171" spans="1:19" x14ac:dyDescent="0.3">
      <c r="A171" t="s">
        <v>231</v>
      </c>
      <c r="B171" s="1">
        <v>45353</v>
      </c>
      <c r="C171" t="s">
        <v>223</v>
      </c>
      <c r="D171" t="s">
        <v>14</v>
      </c>
      <c r="E171" t="s">
        <v>25</v>
      </c>
      <c r="F171" t="s">
        <v>26</v>
      </c>
      <c r="G171" t="s">
        <v>58</v>
      </c>
      <c r="H171">
        <v>12</v>
      </c>
      <c r="I171">
        <v>1610</v>
      </c>
      <c r="J171">
        <v>10</v>
      </c>
      <c r="K171">
        <v>17388</v>
      </c>
      <c r="L171" t="s">
        <v>28</v>
      </c>
      <c r="M171" s="2">
        <f>Table1[[#This Row],[Revenue_INR]]-Table1[[#This Row],[Price_INR]]</f>
        <v>15778</v>
      </c>
      <c r="N171">
        <f>YEAR(Table1[[#This Row],[Date]])</f>
        <v>2024</v>
      </c>
      <c r="O171" s="2">
        <f t="shared" si="8"/>
        <v>1449</v>
      </c>
      <c r="P171" s="7">
        <f t="shared" si="9"/>
        <v>90.740740740740748</v>
      </c>
      <c r="Q171" s="2">
        <f t="shared" si="10"/>
        <v>1932</v>
      </c>
      <c r="R171" s="5" t="str">
        <f t="shared" si="11"/>
        <v>Below Average</v>
      </c>
      <c r="S171" s="5" t="str">
        <f>Table1[[#This Row],[Quarter]]&amp;" - "&amp;Table1[[#This Row],[City]]</f>
        <v>Q1 - Hyderabad</v>
      </c>
    </row>
    <row r="172" spans="1:19" x14ac:dyDescent="0.3">
      <c r="A172" t="s">
        <v>232</v>
      </c>
      <c r="B172" s="1">
        <v>45354</v>
      </c>
      <c r="C172" t="s">
        <v>223</v>
      </c>
      <c r="D172" t="s">
        <v>14</v>
      </c>
      <c r="E172" t="s">
        <v>25</v>
      </c>
      <c r="F172" t="s">
        <v>16</v>
      </c>
      <c r="G172" t="s">
        <v>44</v>
      </c>
      <c r="H172">
        <v>9</v>
      </c>
      <c r="I172">
        <v>2440</v>
      </c>
      <c r="J172">
        <v>5</v>
      </c>
      <c r="K172">
        <v>20862</v>
      </c>
      <c r="L172" t="s">
        <v>42</v>
      </c>
      <c r="M172" s="2">
        <f>Table1[[#This Row],[Revenue_INR]]-Table1[[#This Row],[Price_INR]]</f>
        <v>18422</v>
      </c>
      <c r="N172">
        <f>YEAR(Table1[[#This Row],[Date]])</f>
        <v>2024</v>
      </c>
      <c r="O172" s="2">
        <f t="shared" si="8"/>
        <v>2318</v>
      </c>
      <c r="P172" s="7">
        <f t="shared" si="9"/>
        <v>88.304093567251456</v>
      </c>
      <c r="Q172" s="2">
        <f t="shared" si="10"/>
        <v>1098</v>
      </c>
      <c r="R172" s="5" t="str">
        <f t="shared" si="11"/>
        <v>Below Average</v>
      </c>
      <c r="S172" s="5" t="str">
        <f>Table1[[#This Row],[Quarter]]&amp;" - "&amp;Table1[[#This Row],[City]]</f>
        <v>Q1 - Hyderabad</v>
      </c>
    </row>
    <row r="173" spans="1:19" x14ac:dyDescent="0.3">
      <c r="A173" t="s">
        <v>233</v>
      </c>
      <c r="B173" s="1">
        <v>45354</v>
      </c>
      <c r="C173" t="s">
        <v>223</v>
      </c>
      <c r="D173" t="s">
        <v>14</v>
      </c>
      <c r="E173" t="s">
        <v>25</v>
      </c>
      <c r="F173" t="s">
        <v>60</v>
      </c>
      <c r="G173" t="s">
        <v>124</v>
      </c>
      <c r="H173">
        <v>13</v>
      </c>
      <c r="I173">
        <v>790</v>
      </c>
      <c r="J173">
        <v>5</v>
      </c>
      <c r="K173">
        <v>9756.5</v>
      </c>
      <c r="L173" t="s">
        <v>42</v>
      </c>
      <c r="M173" s="2">
        <f>Table1[[#This Row],[Revenue_INR]]-Table1[[#This Row],[Price_INR]]</f>
        <v>8966.5</v>
      </c>
      <c r="N173">
        <f>YEAR(Table1[[#This Row],[Date]])</f>
        <v>2024</v>
      </c>
      <c r="O173" s="2">
        <f t="shared" si="8"/>
        <v>750.5</v>
      </c>
      <c r="P173" s="7">
        <f t="shared" si="9"/>
        <v>91.902834008097173</v>
      </c>
      <c r="Q173" s="2">
        <f t="shared" si="10"/>
        <v>513.5</v>
      </c>
      <c r="R173" s="5" t="str">
        <f t="shared" si="11"/>
        <v>Below Average</v>
      </c>
      <c r="S173" s="5" t="str">
        <f>Table1[[#This Row],[Quarter]]&amp;" - "&amp;Table1[[#This Row],[City]]</f>
        <v>Q1 - Hyderabad</v>
      </c>
    </row>
    <row r="174" spans="1:19" x14ac:dyDescent="0.3">
      <c r="A174" t="s">
        <v>234</v>
      </c>
      <c r="B174" s="1">
        <v>45354</v>
      </c>
      <c r="C174" t="s">
        <v>223</v>
      </c>
      <c r="D174" t="s">
        <v>14</v>
      </c>
      <c r="E174" t="s">
        <v>25</v>
      </c>
      <c r="F174" t="s">
        <v>21</v>
      </c>
      <c r="G174" t="s">
        <v>71</v>
      </c>
      <c r="H174">
        <v>4</v>
      </c>
      <c r="I174">
        <v>930</v>
      </c>
      <c r="J174">
        <v>30</v>
      </c>
      <c r="K174">
        <v>2604</v>
      </c>
      <c r="L174" t="s">
        <v>28</v>
      </c>
      <c r="M174" s="2">
        <f>Table1[[#This Row],[Revenue_INR]]-Table1[[#This Row],[Price_INR]]</f>
        <v>1674</v>
      </c>
      <c r="N174">
        <f>YEAR(Table1[[#This Row],[Date]])</f>
        <v>2024</v>
      </c>
      <c r="O174" s="2">
        <f t="shared" si="8"/>
        <v>651</v>
      </c>
      <c r="P174" s="7">
        <f t="shared" si="9"/>
        <v>64.285714285714292</v>
      </c>
      <c r="Q174" s="2">
        <f t="shared" si="10"/>
        <v>1116</v>
      </c>
      <c r="R174" s="5" t="str">
        <f t="shared" si="11"/>
        <v>Below Average</v>
      </c>
      <c r="S174" s="5" t="str">
        <f>Table1[[#This Row],[Quarter]]&amp;" - "&amp;Table1[[#This Row],[City]]</f>
        <v>Q1 - Hyderabad</v>
      </c>
    </row>
    <row r="175" spans="1:19" x14ac:dyDescent="0.3">
      <c r="A175" t="s">
        <v>235</v>
      </c>
      <c r="B175" s="1">
        <v>45355</v>
      </c>
      <c r="C175" t="s">
        <v>223</v>
      </c>
      <c r="D175" t="s">
        <v>14</v>
      </c>
      <c r="E175" t="s">
        <v>25</v>
      </c>
      <c r="F175" t="s">
        <v>21</v>
      </c>
      <c r="G175" t="s">
        <v>71</v>
      </c>
      <c r="H175">
        <v>14</v>
      </c>
      <c r="I175">
        <v>2160</v>
      </c>
      <c r="J175">
        <v>0</v>
      </c>
      <c r="K175">
        <v>30240</v>
      </c>
      <c r="L175" t="s">
        <v>66</v>
      </c>
      <c r="M175" s="2">
        <f>Table1[[#This Row],[Revenue_INR]]-Table1[[#This Row],[Price_INR]]</f>
        <v>28080</v>
      </c>
      <c r="N175">
        <f>YEAR(Table1[[#This Row],[Date]])</f>
        <v>2024</v>
      </c>
      <c r="O175" s="2">
        <f t="shared" si="8"/>
        <v>2160</v>
      </c>
      <c r="P175" s="7">
        <f t="shared" si="9"/>
        <v>92.857142857142861</v>
      </c>
      <c r="Q175" s="2">
        <f t="shared" si="10"/>
        <v>0</v>
      </c>
      <c r="R175" s="5" t="str">
        <f t="shared" si="11"/>
        <v>Above Average</v>
      </c>
      <c r="S175" s="5" t="str">
        <f>Table1[[#This Row],[Quarter]]&amp;" - "&amp;Table1[[#This Row],[City]]</f>
        <v>Q1 - Hyderabad</v>
      </c>
    </row>
    <row r="176" spans="1:19" x14ac:dyDescent="0.3">
      <c r="A176" t="s">
        <v>236</v>
      </c>
      <c r="B176" s="1">
        <v>45355</v>
      </c>
      <c r="C176" t="s">
        <v>223</v>
      </c>
      <c r="D176" t="s">
        <v>14</v>
      </c>
      <c r="E176" t="s">
        <v>15</v>
      </c>
      <c r="F176" t="s">
        <v>31</v>
      </c>
      <c r="G176" t="s">
        <v>131</v>
      </c>
      <c r="H176">
        <v>9</v>
      </c>
      <c r="I176">
        <v>4560</v>
      </c>
      <c r="J176">
        <v>30</v>
      </c>
      <c r="K176">
        <v>28728</v>
      </c>
      <c r="L176" t="s">
        <v>53</v>
      </c>
      <c r="M176" s="2">
        <f>Table1[[#This Row],[Revenue_INR]]-Table1[[#This Row],[Price_INR]]</f>
        <v>24168</v>
      </c>
      <c r="N176">
        <f>YEAR(Table1[[#This Row],[Date]])</f>
        <v>2024</v>
      </c>
      <c r="O176" s="2">
        <f t="shared" si="8"/>
        <v>3192</v>
      </c>
      <c r="P176" s="7">
        <f t="shared" si="9"/>
        <v>84.126984126984127</v>
      </c>
      <c r="Q176" s="2">
        <f t="shared" si="10"/>
        <v>12312</v>
      </c>
      <c r="R176" s="5" t="str">
        <f t="shared" si="11"/>
        <v>Above Average</v>
      </c>
      <c r="S176" s="5" t="str">
        <f>Table1[[#This Row],[Quarter]]&amp;" - "&amp;Table1[[#This Row],[City]]</f>
        <v>Q1 - Kolkata</v>
      </c>
    </row>
    <row r="177" spans="1:19" x14ac:dyDescent="0.3">
      <c r="A177" t="s">
        <v>237</v>
      </c>
      <c r="B177" s="1">
        <v>45356</v>
      </c>
      <c r="C177" t="s">
        <v>223</v>
      </c>
      <c r="D177" t="s">
        <v>14</v>
      </c>
      <c r="E177" t="s">
        <v>25</v>
      </c>
      <c r="F177" t="s">
        <v>16</v>
      </c>
      <c r="G177" t="s">
        <v>69</v>
      </c>
      <c r="H177">
        <v>6</v>
      </c>
      <c r="I177">
        <v>440</v>
      </c>
      <c r="J177">
        <v>5</v>
      </c>
      <c r="K177">
        <v>2508</v>
      </c>
      <c r="L177" t="s">
        <v>66</v>
      </c>
      <c r="M177" s="2">
        <f>Table1[[#This Row],[Revenue_INR]]-Table1[[#This Row],[Price_INR]]</f>
        <v>2068</v>
      </c>
      <c r="N177">
        <f>YEAR(Table1[[#This Row],[Date]])</f>
        <v>2024</v>
      </c>
      <c r="O177" s="2">
        <f t="shared" si="8"/>
        <v>418</v>
      </c>
      <c r="P177" s="7">
        <f t="shared" si="9"/>
        <v>82.456140350877192</v>
      </c>
      <c r="Q177" s="2">
        <f t="shared" si="10"/>
        <v>132</v>
      </c>
      <c r="R177" s="5" t="str">
        <f t="shared" si="11"/>
        <v>Below Average</v>
      </c>
      <c r="S177" s="5" t="str">
        <f>Table1[[#This Row],[Quarter]]&amp;" - "&amp;Table1[[#This Row],[City]]</f>
        <v>Q1 - Hyderabad</v>
      </c>
    </row>
    <row r="178" spans="1:19" x14ac:dyDescent="0.3">
      <c r="A178" t="s">
        <v>238</v>
      </c>
      <c r="B178" s="1">
        <v>45356</v>
      </c>
      <c r="C178" t="s">
        <v>223</v>
      </c>
      <c r="D178" t="s">
        <v>14</v>
      </c>
      <c r="E178" t="s">
        <v>34</v>
      </c>
      <c r="F178" t="s">
        <v>60</v>
      </c>
      <c r="G178" t="s">
        <v>99</v>
      </c>
      <c r="H178">
        <v>9</v>
      </c>
      <c r="I178">
        <v>970</v>
      </c>
      <c r="J178">
        <v>10</v>
      </c>
      <c r="K178">
        <v>7857</v>
      </c>
      <c r="L178" t="s">
        <v>36</v>
      </c>
      <c r="M178" s="2">
        <f>Table1[[#This Row],[Revenue_INR]]-Table1[[#This Row],[Price_INR]]</f>
        <v>6887</v>
      </c>
      <c r="N178">
        <f>YEAR(Table1[[#This Row],[Date]])</f>
        <v>2024</v>
      </c>
      <c r="O178" s="2">
        <f t="shared" si="8"/>
        <v>873</v>
      </c>
      <c r="P178" s="7">
        <f t="shared" si="9"/>
        <v>87.654320987654316</v>
      </c>
      <c r="Q178" s="2">
        <f t="shared" si="10"/>
        <v>873</v>
      </c>
      <c r="R178" s="5" t="str">
        <f t="shared" si="11"/>
        <v>Below Average</v>
      </c>
      <c r="S178" s="5" t="str">
        <f>Table1[[#This Row],[Quarter]]&amp;" - "&amp;Table1[[#This Row],[City]]</f>
        <v>Q1 - Delhi</v>
      </c>
    </row>
    <row r="179" spans="1:19" x14ac:dyDescent="0.3">
      <c r="A179" t="s">
        <v>239</v>
      </c>
      <c r="B179" s="1">
        <v>45357</v>
      </c>
      <c r="C179" t="s">
        <v>223</v>
      </c>
      <c r="D179" t="s">
        <v>14</v>
      </c>
      <c r="E179" t="s">
        <v>25</v>
      </c>
      <c r="F179" t="s">
        <v>26</v>
      </c>
      <c r="G179" t="s">
        <v>27</v>
      </c>
      <c r="H179">
        <v>13</v>
      </c>
      <c r="I179">
        <v>6070</v>
      </c>
      <c r="J179">
        <v>20</v>
      </c>
      <c r="K179">
        <v>63128</v>
      </c>
      <c r="L179" t="s">
        <v>42</v>
      </c>
      <c r="M179" s="2">
        <f>Table1[[#This Row],[Revenue_INR]]-Table1[[#This Row],[Price_INR]]</f>
        <v>57058</v>
      </c>
      <c r="N179">
        <f>YEAR(Table1[[#This Row],[Date]])</f>
        <v>2024</v>
      </c>
      <c r="O179" s="2">
        <f t="shared" si="8"/>
        <v>4856</v>
      </c>
      <c r="P179" s="7">
        <f t="shared" si="9"/>
        <v>90.384615384615387</v>
      </c>
      <c r="Q179" s="2">
        <f t="shared" si="10"/>
        <v>15782</v>
      </c>
      <c r="R179" s="5" t="str">
        <f t="shared" si="11"/>
        <v>Above Average</v>
      </c>
      <c r="S179" s="5" t="str">
        <f>Table1[[#This Row],[Quarter]]&amp;" - "&amp;Table1[[#This Row],[City]]</f>
        <v>Q1 - Hyderabad</v>
      </c>
    </row>
    <row r="180" spans="1:19" x14ac:dyDescent="0.3">
      <c r="A180" t="s">
        <v>240</v>
      </c>
      <c r="B180" s="1">
        <v>45358</v>
      </c>
      <c r="C180" t="s">
        <v>223</v>
      </c>
      <c r="D180" t="s">
        <v>14</v>
      </c>
      <c r="E180" t="s">
        <v>20</v>
      </c>
      <c r="F180" t="s">
        <v>47</v>
      </c>
      <c r="G180" t="s">
        <v>55</v>
      </c>
      <c r="H180">
        <v>6</v>
      </c>
      <c r="I180">
        <v>7210</v>
      </c>
      <c r="J180">
        <v>30</v>
      </c>
      <c r="K180">
        <v>30282</v>
      </c>
      <c r="L180" t="s">
        <v>77</v>
      </c>
      <c r="M180" s="2">
        <f>Table1[[#This Row],[Revenue_INR]]-Table1[[#This Row],[Price_INR]]</f>
        <v>23072</v>
      </c>
      <c r="N180">
        <f>YEAR(Table1[[#This Row],[Date]])</f>
        <v>2024</v>
      </c>
      <c r="O180" s="2">
        <f t="shared" si="8"/>
        <v>5047</v>
      </c>
      <c r="P180" s="7">
        <f t="shared" si="9"/>
        <v>76.19047619047619</v>
      </c>
      <c r="Q180" s="2">
        <f t="shared" si="10"/>
        <v>12978</v>
      </c>
      <c r="R180" s="5" t="str">
        <f t="shared" si="11"/>
        <v>Above Average</v>
      </c>
      <c r="S180" s="5" t="str">
        <f>Table1[[#This Row],[Quarter]]&amp;" - "&amp;Table1[[#This Row],[City]]</f>
        <v>Q1 - Mumbai</v>
      </c>
    </row>
    <row r="181" spans="1:19" x14ac:dyDescent="0.3">
      <c r="A181" t="s">
        <v>241</v>
      </c>
      <c r="B181" s="1">
        <v>45359</v>
      </c>
      <c r="C181" t="s">
        <v>223</v>
      </c>
      <c r="D181" t="s">
        <v>14</v>
      </c>
      <c r="E181" t="s">
        <v>20</v>
      </c>
      <c r="F181" t="s">
        <v>31</v>
      </c>
      <c r="G181" t="s">
        <v>35</v>
      </c>
      <c r="H181">
        <v>5</v>
      </c>
      <c r="I181">
        <v>2800</v>
      </c>
      <c r="J181">
        <v>0</v>
      </c>
      <c r="K181">
        <v>14000</v>
      </c>
      <c r="L181" t="s">
        <v>39</v>
      </c>
      <c r="M181" s="2">
        <f>Table1[[#This Row],[Revenue_INR]]-Table1[[#This Row],[Price_INR]]</f>
        <v>11200</v>
      </c>
      <c r="N181">
        <f>YEAR(Table1[[#This Row],[Date]])</f>
        <v>2024</v>
      </c>
      <c r="O181" s="2">
        <f t="shared" si="8"/>
        <v>2800</v>
      </c>
      <c r="P181" s="7">
        <f t="shared" si="9"/>
        <v>80</v>
      </c>
      <c r="Q181" s="2">
        <f t="shared" si="10"/>
        <v>0</v>
      </c>
      <c r="R181" s="5" t="str">
        <f t="shared" si="11"/>
        <v>Below Average</v>
      </c>
      <c r="S181" s="5" t="str">
        <f>Table1[[#This Row],[Quarter]]&amp;" - "&amp;Table1[[#This Row],[City]]</f>
        <v>Q1 - Mumbai</v>
      </c>
    </row>
    <row r="182" spans="1:19" x14ac:dyDescent="0.3">
      <c r="A182" t="s">
        <v>242</v>
      </c>
      <c r="B182" s="1">
        <v>45359</v>
      </c>
      <c r="C182" t="s">
        <v>223</v>
      </c>
      <c r="D182" t="s">
        <v>14</v>
      </c>
      <c r="E182" t="s">
        <v>15</v>
      </c>
      <c r="F182" t="s">
        <v>16</v>
      </c>
      <c r="G182" t="s">
        <v>17</v>
      </c>
      <c r="H182">
        <v>4</v>
      </c>
      <c r="I182">
        <v>710</v>
      </c>
      <c r="J182">
        <v>0</v>
      </c>
      <c r="K182">
        <v>2840</v>
      </c>
      <c r="L182" t="s">
        <v>92</v>
      </c>
      <c r="M182" s="2">
        <f>Table1[[#This Row],[Revenue_INR]]-Table1[[#This Row],[Price_INR]]</f>
        <v>2130</v>
      </c>
      <c r="N182">
        <f>YEAR(Table1[[#This Row],[Date]])</f>
        <v>2024</v>
      </c>
      <c r="O182" s="2">
        <f t="shared" si="8"/>
        <v>710</v>
      </c>
      <c r="P182" s="7">
        <f t="shared" si="9"/>
        <v>75</v>
      </c>
      <c r="Q182" s="2">
        <f t="shared" si="10"/>
        <v>0</v>
      </c>
      <c r="R182" s="5" t="str">
        <f t="shared" si="11"/>
        <v>Below Average</v>
      </c>
      <c r="S182" s="5" t="str">
        <f>Table1[[#This Row],[Quarter]]&amp;" - "&amp;Table1[[#This Row],[City]]</f>
        <v>Q1 - Kolkata</v>
      </c>
    </row>
    <row r="183" spans="1:19" x14ac:dyDescent="0.3">
      <c r="A183" t="s">
        <v>243</v>
      </c>
      <c r="B183" s="1">
        <v>45359</v>
      </c>
      <c r="C183" t="s">
        <v>223</v>
      </c>
      <c r="D183" t="s">
        <v>14</v>
      </c>
      <c r="E183" t="s">
        <v>34</v>
      </c>
      <c r="F183" t="s">
        <v>16</v>
      </c>
      <c r="G183" t="s">
        <v>41</v>
      </c>
      <c r="H183">
        <v>3</v>
      </c>
      <c r="I183">
        <v>1080</v>
      </c>
      <c r="J183">
        <v>0</v>
      </c>
      <c r="K183">
        <v>3240</v>
      </c>
      <c r="L183" t="s">
        <v>45</v>
      </c>
      <c r="M183" s="2">
        <f>Table1[[#This Row],[Revenue_INR]]-Table1[[#This Row],[Price_INR]]</f>
        <v>2160</v>
      </c>
      <c r="N183">
        <f>YEAR(Table1[[#This Row],[Date]])</f>
        <v>2024</v>
      </c>
      <c r="O183" s="2">
        <f t="shared" si="8"/>
        <v>1080</v>
      </c>
      <c r="P183" s="7">
        <f t="shared" si="9"/>
        <v>66.666666666666657</v>
      </c>
      <c r="Q183" s="2">
        <f t="shared" si="10"/>
        <v>0</v>
      </c>
      <c r="R183" s="5" t="str">
        <f t="shared" si="11"/>
        <v>Below Average</v>
      </c>
      <c r="S183" s="5" t="str">
        <f>Table1[[#This Row],[Quarter]]&amp;" - "&amp;Table1[[#This Row],[City]]</f>
        <v>Q1 - Delhi</v>
      </c>
    </row>
    <row r="184" spans="1:19" x14ac:dyDescent="0.3">
      <c r="A184" t="s">
        <v>244</v>
      </c>
      <c r="B184" s="1">
        <v>45359</v>
      </c>
      <c r="C184" t="s">
        <v>223</v>
      </c>
      <c r="D184" t="s">
        <v>14</v>
      </c>
      <c r="E184" t="s">
        <v>20</v>
      </c>
      <c r="F184" t="s">
        <v>21</v>
      </c>
      <c r="G184" t="s">
        <v>71</v>
      </c>
      <c r="H184">
        <v>7</v>
      </c>
      <c r="I184">
        <v>1580</v>
      </c>
      <c r="J184">
        <v>5</v>
      </c>
      <c r="K184">
        <v>10507</v>
      </c>
      <c r="L184" t="s">
        <v>23</v>
      </c>
      <c r="M184" s="2">
        <f>Table1[[#This Row],[Revenue_INR]]-Table1[[#This Row],[Price_INR]]</f>
        <v>8927</v>
      </c>
      <c r="N184">
        <f>YEAR(Table1[[#This Row],[Date]])</f>
        <v>2024</v>
      </c>
      <c r="O184" s="2">
        <f t="shared" si="8"/>
        <v>1501</v>
      </c>
      <c r="P184" s="7">
        <f t="shared" si="9"/>
        <v>84.962406015037601</v>
      </c>
      <c r="Q184" s="2">
        <f t="shared" si="10"/>
        <v>553</v>
      </c>
      <c r="R184" s="5" t="str">
        <f t="shared" si="11"/>
        <v>Below Average</v>
      </c>
      <c r="S184" s="5" t="str">
        <f>Table1[[#This Row],[Quarter]]&amp;" - "&amp;Table1[[#This Row],[City]]</f>
        <v>Q1 - Mumbai</v>
      </c>
    </row>
    <row r="185" spans="1:19" x14ac:dyDescent="0.3">
      <c r="A185" t="s">
        <v>245</v>
      </c>
      <c r="B185" s="1">
        <v>45359</v>
      </c>
      <c r="C185" t="s">
        <v>223</v>
      </c>
      <c r="D185" t="s">
        <v>14</v>
      </c>
      <c r="E185" t="s">
        <v>20</v>
      </c>
      <c r="F185" t="s">
        <v>16</v>
      </c>
      <c r="G185" t="s">
        <v>69</v>
      </c>
      <c r="H185">
        <v>8</v>
      </c>
      <c r="I185">
        <v>300</v>
      </c>
      <c r="J185">
        <v>0</v>
      </c>
      <c r="K185">
        <v>2400</v>
      </c>
      <c r="L185" t="s">
        <v>77</v>
      </c>
      <c r="M185" s="2">
        <f>Table1[[#This Row],[Revenue_INR]]-Table1[[#This Row],[Price_INR]]</f>
        <v>2100</v>
      </c>
      <c r="N185">
        <f>YEAR(Table1[[#This Row],[Date]])</f>
        <v>2024</v>
      </c>
      <c r="O185" s="2">
        <f t="shared" si="8"/>
        <v>300</v>
      </c>
      <c r="P185" s="7">
        <f t="shared" si="9"/>
        <v>87.5</v>
      </c>
      <c r="Q185" s="2">
        <f t="shared" si="10"/>
        <v>0</v>
      </c>
      <c r="R185" s="5" t="str">
        <f t="shared" si="11"/>
        <v>Below Average</v>
      </c>
      <c r="S185" s="5" t="str">
        <f>Table1[[#This Row],[Quarter]]&amp;" - "&amp;Table1[[#This Row],[City]]</f>
        <v>Q1 - Mumbai</v>
      </c>
    </row>
    <row r="186" spans="1:19" x14ac:dyDescent="0.3">
      <c r="A186" t="s">
        <v>246</v>
      </c>
      <c r="B186" s="1">
        <v>45359</v>
      </c>
      <c r="C186" t="s">
        <v>223</v>
      </c>
      <c r="D186" t="s">
        <v>14</v>
      </c>
      <c r="E186" t="s">
        <v>15</v>
      </c>
      <c r="F186" t="s">
        <v>60</v>
      </c>
      <c r="G186" t="s">
        <v>99</v>
      </c>
      <c r="H186">
        <v>3</v>
      </c>
      <c r="I186">
        <v>2250</v>
      </c>
      <c r="J186">
        <v>25</v>
      </c>
      <c r="K186">
        <v>5062.5</v>
      </c>
      <c r="L186" t="s">
        <v>92</v>
      </c>
      <c r="M186" s="2">
        <f>Table1[[#This Row],[Revenue_INR]]-Table1[[#This Row],[Price_INR]]</f>
        <v>2812.5</v>
      </c>
      <c r="N186">
        <f>YEAR(Table1[[#This Row],[Date]])</f>
        <v>2024</v>
      </c>
      <c r="O186" s="2">
        <f t="shared" si="8"/>
        <v>1687.5</v>
      </c>
      <c r="P186" s="7">
        <f t="shared" si="9"/>
        <v>55.555555555555557</v>
      </c>
      <c r="Q186" s="2">
        <f t="shared" si="10"/>
        <v>1687.5</v>
      </c>
      <c r="R186" s="5" t="str">
        <f t="shared" si="11"/>
        <v>Below Average</v>
      </c>
      <c r="S186" s="5" t="str">
        <f>Table1[[#This Row],[Quarter]]&amp;" - "&amp;Table1[[#This Row],[City]]</f>
        <v>Q1 - Kolkata</v>
      </c>
    </row>
    <row r="187" spans="1:19" x14ac:dyDescent="0.3">
      <c r="A187" t="s">
        <v>247</v>
      </c>
      <c r="B187" s="1">
        <v>45359</v>
      </c>
      <c r="C187" t="s">
        <v>223</v>
      </c>
      <c r="D187" t="s">
        <v>14</v>
      </c>
      <c r="E187" t="s">
        <v>20</v>
      </c>
      <c r="F187" t="s">
        <v>47</v>
      </c>
      <c r="G187" t="s">
        <v>102</v>
      </c>
      <c r="H187">
        <v>2</v>
      </c>
      <c r="I187">
        <v>8410</v>
      </c>
      <c r="J187">
        <v>30</v>
      </c>
      <c r="K187">
        <v>11774</v>
      </c>
      <c r="L187" t="s">
        <v>39</v>
      </c>
      <c r="M187" s="2">
        <f>Table1[[#This Row],[Revenue_INR]]-Table1[[#This Row],[Price_INR]]</f>
        <v>3364</v>
      </c>
      <c r="N187">
        <f>YEAR(Table1[[#This Row],[Date]])</f>
        <v>2024</v>
      </c>
      <c r="O187" s="2">
        <f t="shared" si="8"/>
        <v>5887</v>
      </c>
      <c r="P187" s="7">
        <f t="shared" si="9"/>
        <v>28.571428571428569</v>
      </c>
      <c r="Q187" s="2">
        <f t="shared" si="10"/>
        <v>5046</v>
      </c>
      <c r="R187" s="5" t="str">
        <f t="shared" si="11"/>
        <v>Below Average</v>
      </c>
      <c r="S187" s="5" t="str">
        <f>Table1[[#This Row],[Quarter]]&amp;" - "&amp;Table1[[#This Row],[City]]</f>
        <v>Q1 - Mumbai</v>
      </c>
    </row>
    <row r="188" spans="1:19" x14ac:dyDescent="0.3">
      <c r="A188" t="s">
        <v>248</v>
      </c>
      <c r="B188" s="1">
        <v>45360</v>
      </c>
      <c r="C188" t="s">
        <v>223</v>
      </c>
      <c r="D188" t="s">
        <v>14</v>
      </c>
      <c r="E188" t="s">
        <v>15</v>
      </c>
      <c r="F188" t="s">
        <v>16</v>
      </c>
      <c r="G188" t="s">
        <v>44</v>
      </c>
      <c r="H188">
        <v>7</v>
      </c>
      <c r="I188">
        <v>360</v>
      </c>
      <c r="J188">
        <v>10</v>
      </c>
      <c r="K188">
        <v>2268</v>
      </c>
      <c r="L188" t="s">
        <v>53</v>
      </c>
      <c r="M188" s="2">
        <f>Table1[[#This Row],[Revenue_INR]]-Table1[[#This Row],[Price_INR]]</f>
        <v>1908</v>
      </c>
      <c r="N188">
        <f>YEAR(Table1[[#This Row],[Date]])</f>
        <v>2024</v>
      </c>
      <c r="O188" s="2">
        <f t="shared" si="8"/>
        <v>324</v>
      </c>
      <c r="P188" s="7">
        <f t="shared" si="9"/>
        <v>84.126984126984127</v>
      </c>
      <c r="Q188" s="2">
        <f t="shared" si="10"/>
        <v>252</v>
      </c>
      <c r="R188" s="5" t="str">
        <f t="shared" si="11"/>
        <v>Below Average</v>
      </c>
      <c r="S188" s="5" t="str">
        <f>Table1[[#This Row],[Quarter]]&amp;" - "&amp;Table1[[#This Row],[City]]</f>
        <v>Q1 - Kolkata</v>
      </c>
    </row>
    <row r="189" spans="1:19" x14ac:dyDescent="0.3">
      <c r="A189" t="s">
        <v>249</v>
      </c>
      <c r="B189" s="1">
        <v>45360</v>
      </c>
      <c r="C189" t="s">
        <v>223</v>
      </c>
      <c r="D189" t="s">
        <v>14</v>
      </c>
      <c r="E189" t="s">
        <v>15</v>
      </c>
      <c r="F189" t="s">
        <v>60</v>
      </c>
      <c r="G189" t="s">
        <v>124</v>
      </c>
      <c r="H189">
        <v>9</v>
      </c>
      <c r="I189">
        <v>2440</v>
      </c>
      <c r="J189">
        <v>20</v>
      </c>
      <c r="K189">
        <v>17568</v>
      </c>
      <c r="L189" t="s">
        <v>53</v>
      </c>
      <c r="M189" s="2">
        <f>Table1[[#This Row],[Revenue_INR]]-Table1[[#This Row],[Price_INR]]</f>
        <v>15128</v>
      </c>
      <c r="N189">
        <f>YEAR(Table1[[#This Row],[Date]])</f>
        <v>2024</v>
      </c>
      <c r="O189" s="2">
        <f t="shared" si="8"/>
        <v>1952</v>
      </c>
      <c r="P189" s="7">
        <f t="shared" si="9"/>
        <v>86.111111111111114</v>
      </c>
      <c r="Q189" s="2">
        <f t="shared" si="10"/>
        <v>4392</v>
      </c>
      <c r="R189" s="5" t="str">
        <f t="shared" si="11"/>
        <v>Below Average</v>
      </c>
      <c r="S189" s="5" t="str">
        <f>Table1[[#This Row],[Quarter]]&amp;" - "&amp;Table1[[#This Row],[City]]</f>
        <v>Q1 - Kolkata</v>
      </c>
    </row>
    <row r="190" spans="1:19" x14ac:dyDescent="0.3">
      <c r="A190" t="s">
        <v>250</v>
      </c>
      <c r="B190" s="1">
        <v>45360</v>
      </c>
      <c r="C190" t="s">
        <v>223</v>
      </c>
      <c r="D190" t="s">
        <v>14</v>
      </c>
      <c r="E190" t="s">
        <v>34</v>
      </c>
      <c r="F190" t="s">
        <v>31</v>
      </c>
      <c r="G190" t="s">
        <v>38</v>
      </c>
      <c r="H190">
        <v>13</v>
      </c>
      <c r="I190">
        <v>1680</v>
      </c>
      <c r="J190">
        <v>30</v>
      </c>
      <c r="K190">
        <v>15288</v>
      </c>
      <c r="L190" t="s">
        <v>36</v>
      </c>
      <c r="M190" s="2">
        <f>Table1[[#This Row],[Revenue_INR]]-Table1[[#This Row],[Price_INR]]</f>
        <v>13608</v>
      </c>
      <c r="N190">
        <f>YEAR(Table1[[#This Row],[Date]])</f>
        <v>2024</v>
      </c>
      <c r="O190" s="2">
        <f t="shared" si="8"/>
        <v>1176</v>
      </c>
      <c r="P190" s="7">
        <f t="shared" si="9"/>
        <v>89.010989010989007</v>
      </c>
      <c r="Q190" s="2">
        <f t="shared" si="10"/>
        <v>6552</v>
      </c>
      <c r="R190" s="5" t="str">
        <f t="shared" si="11"/>
        <v>Below Average</v>
      </c>
      <c r="S190" s="5" t="str">
        <f>Table1[[#This Row],[Quarter]]&amp;" - "&amp;Table1[[#This Row],[City]]</f>
        <v>Q1 - Delhi</v>
      </c>
    </row>
    <row r="191" spans="1:19" x14ac:dyDescent="0.3">
      <c r="A191" t="s">
        <v>251</v>
      </c>
      <c r="B191" s="1">
        <v>45360</v>
      </c>
      <c r="C191" t="s">
        <v>223</v>
      </c>
      <c r="D191" t="s">
        <v>14</v>
      </c>
      <c r="E191" t="s">
        <v>15</v>
      </c>
      <c r="F191" t="s">
        <v>21</v>
      </c>
      <c r="G191" t="s">
        <v>94</v>
      </c>
      <c r="H191">
        <v>11</v>
      </c>
      <c r="I191">
        <v>3490</v>
      </c>
      <c r="J191">
        <v>5</v>
      </c>
      <c r="K191">
        <v>36470.5</v>
      </c>
      <c r="L191" t="s">
        <v>92</v>
      </c>
      <c r="M191" s="2">
        <f>Table1[[#This Row],[Revenue_INR]]-Table1[[#This Row],[Price_INR]]</f>
        <v>32980.5</v>
      </c>
      <c r="N191">
        <f>YEAR(Table1[[#This Row],[Date]])</f>
        <v>2024</v>
      </c>
      <c r="O191" s="2">
        <f t="shared" si="8"/>
        <v>3315.5</v>
      </c>
      <c r="P191" s="7">
        <f t="shared" si="9"/>
        <v>90.430622009569376</v>
      </c>
      <c r="Q191" s="2">
        <f t="shared" si="10"/>
        <v>1919.5</v>
      </c>
      <c r="R191" s="5" t="str">
        <f t="shared" si="11"/>
        <v>Above Average</v>
      </c>
      <c r="S191" s="5" t="str">
        <f>Table1[[#This Row],[Quarter]]&amp;" - "&amp;Table1[[#This Row],[City]]</f>
        <v>Q1 - Kolkata</v>
      </c>
    </row>
    <row r="192" spans="1:19" x14ac:dyDescent="0.3">
      <c r="A192" t="s">
        <v>252</v>
      </c>
      <c r="B192" s="1">
        <v>45360</v>
      </c>
      <c r="C192" t="s">
        <v>223</v>
      </c>
      <c r="D192" t="s">
        <v>14</v>
      </c>
      <c r="E192" t="s">
        <v>20</v>
      </c>
      <c r="F192" t="s">
        <v>16</v>
      </c>
      <c r="G192" t="s">
        <v>17</v>
      </c>
      <c r="H192">
        <v>4</v>
      </c>
      <c r="I192">
        <v>1290</v>
      </c>
      <c r="J192">
        <v>5</v>
      </c>
      <c r="K192">
        <v>4902</v>
      </c>
      <c r="L192" t="s">
        <v>23</v>
      </c>
      <c r="M192" s="2">
        <f>Table1[[#This Row],[Revenue_INR]]-Table1[[#This Row],[Price_INR]]</f>
        <v>3612</v>
      </c>
      <c r="N192">
        <f>YEAR(Table1[[#This Row],[Date]])</f>
        <v>2024</v>
      </c>
      <c r="O192" s="2">
        <f t="shared" si="8"/>
        <v>1225.5</v>
      </c>
      <c r="P192" s="7">
        <f t="shared" si="9"/>
        <v>73.68421052631578</v>
      </c>
      <c r="Q192" s="2">
        <f t="shared" si="10"/>
        <v>258</v>
      </c>
      <c r="R192" s="5" t="str">
        <f t="shared" si="11"/>
        <v>Below Average</v>
      </c>
      <c r="S192" s="5" t="str">
        <f>Table1[[#This Row],[Quarter]]&amp;" - "&amp;Table1[[#This Row],[City]]</f>
        <v>Q1 - Mumbai</v>
      </c>
    </row>
    <row r="193" spans="1:19" x14ac:dyDescent="0.3">
      <c r="A193" t="s">
        <v>253</v>
      </c>
      <c r="B193" s="1">
        <v>45361</v>
      </c>
      <c r="C193" t="s">
        <v>223</v>
      </c>
      <c r="D193" t="s">
        <v>14</v>
      </c>
      <c r="E193" t="s">
        <v>20</v>
      </c>
      <c r="F193" t="s">
        <v>60</v>
      </c>
      <c r="G193" t="s">
        <v>124</v>
      </c>
      <c r="H193">
        <v>7</v>
      </c>
      <c r="I193">
        <v>660</v>
      </c>
      <c r="J193">
        <v>5</v>
      </c>
      <c r="K193">
        <v>4389</v>
      </c>
      <c r="L193" t="s">
        <v>77</v>
      </c>
      <c r="M193" s="2">
        <f>Table1[[#This Row],[Revenue_INR]]-Table1[[#This Row],[Price_INR]]</f>
        <v>3729</v>
      </c>
      <c r="N193">
        <f>YEAR(Table1[[#This Row],[Date]])</f>
        <v>2024</v>
      </c>
      <c r="O193" s="2">
        <f t="shared" si="8"/>
        <v>627</v>
      </c>
      <c r="P193" s="7">
        <f t="shared" si="9"/>
        <v>84.962406015037601</v>
      </c>
      <c r="Q193" s="2">
        <f t="shared" si="10"/>
        <v>231</v>
      </c>
      <c r="R193" s="5" t="str">
        <f t="shared" si="11"/>
        <v>Below Average</v>
      </c>
      <c r="S193" s="5" t="str">
        <f>Table1[[#This Row],[Quarter]]&amp;" - "&amp;Table1[[#This Row],[City]]</f>
        <v>Q1 - Mumbai</v>
      </c>
    </row>
    <row r="194" spans="1:19" x14ac:dyDescent="0.3">
      <c r="A194" t="s">
        <v>254</v>
      </c>
      <c r="B194" s="1">
        <v>45361</v>
      </c>
      <c r="C194" t="s">
        <v>223</v>
      </c>
      <c r="D194" t="s">
        <v>14</v>
      </c>
      <c r="E194" t="s">
        <v>25</v>
      </c>
      <c r="F194" t="s">
        <v>21</v>
      </c>
      <c r="G194" t="s">
        <v>94</v>
      </c>
      <c r="H194">
        <v>15</v>
      </c>
      <c r="I194">
        <v>2660</v>
      </c>
      <c r="J194">
        <v>20</v>
      </c>
      <c r="K194">
        <v>31920</v>
      </c>
      <c r="L194" t="s">
        <v>28</v>
      </c>
      <c r="M194" s="2">
        <f>Table1[[#This Row],[Revenue_INR]]-Table1[[#This Row],[Price_INR]]</f>
        <v>29260</v>
      </c>
      <c r="N194">
        <f>YEAR(Table1[[#This Row],[Date]])</f>
        <v>2024</v>
      </c>
      <c r="O194" s="2">
        <f t="shared" ref="O194:O257" si="12">K194/H194</f>
        <v>2128</v>
      </c>
      <c r="P194" s="7">
        <f t="shared" ref="P194:P257" si="13">M194/K194*100</f>
        <v>91.666666666666657</v>
      </c>
      <c r="Q194" s="2">
        <f t="shared" ref="Q194:Q257" si="14">I194*H194*J194/100</f>
        <v>7980</v>
      </c>
      <c r="R194" s="5" t="str">
        <f t="shared" ref="R194:R257" si="15">IF(K194&gt;AVERAGE($K$2:$K$1001),"Above Average","Below Average")</f>
        <v>Above Average</v>
      </c>
      <c r="S194" s="5" t="str">
        <f>Table1[[#This Row],[Quarter]]&amp;" - "&amp;Table1[[#This Row],[City]]</f>
        <v>Q1 - Hyderabad</v>
      </c>
    </row>
    <row r="195" spans="1:19" x14ac:dyDescent="0.3">
      <c r="A195" t="s">
        <v>255</v>
      </c>
      <c r="B195" s="1">
        <v>45361</v>
      </c>
      <c r="C195" t="s">
        <v>223</v>
      </c>
      <c r="D195" t="s">
        <v>14</v>
      </c>
      <c r="E195" t="s">
        <v>34</v>
      </c>
      <c r="F195" t="s">
        <v>21</v>
      </c>
      <c r="G195" t="s">
        <v>94</v>
      </c>
      <c r="H195">
        <v>9</v>
      </c>
      <c r="I195">
        <v>830</v>
      </c>
      <c r="J195">
        <v>30</v>
      </c>
      <c r="K195">
        <v>5229</v>
      </c>
      <c r="L195" t="s">
        <v>49</v>
      </c>
      <c r="M195" s="2">
        <f>Table1[[#This Row],[Revenue_INR]]-Table1[[#This Row],[Price_INR]]</f>
        <v>4399</v>
      </c>
      <c r="N195">
        <f>YEAR(Table1[[#This Row],[Date]])</f>
        <v>2024</v>
      </c>
      <c r="O195" s="2">
        <f t="shared" si="12"/>
        <v>581</v>
      </c>
      <c r="P195" s="7">
        <f t="shared" si="13"/>
        <v>84.126984126984127</v>
      </c>
      <c r="Q195" s="2">
        <f t="shared" si="14"/>
        <v>2241</v>
      </c>
      <c r="R195" s="5" t="str">
        <f t="shared" si="15"/>
        <v>Below Average</v>
      </c>
      <c r="S195" s="5" t="str">
        <f>Table1[[#This Row],[Quarter]]&amp;" - "&amp;Table1[[#This Row],[City]]</f>
        <v>Q1 - Delhi</v>
      </c>
    </row>
    <row r="196" spans="1:19" x14ac:dyDescent="0.3">
      <c r="A196" t="s">
        <v>256</v>
      </c>
      <c r="B196" s="1">
        <v>45362</v>
      </c>
      <c r="C196" t="s">
        <v>223</v>
      </c>
      <c r="D196" t="s">
        <v>14</v>
      </c>
      <c r="E196" t="s">
        <v>15</v>
      </c>
      <c r="F196" t="s">
        <v>47</v>
      </c>
      <c r="G196" t="s">
        <v>102</v>
      </c>
      <c r="H196">
        <v>5</v>
      </c>
      <c r="I196">
        <v>2430</v>
      </c>
      <c r="J196">
        <v>15</v>
      </c>
      <c r="K196">
        <v>10327.5</v>
      </c>
      <c r="L196" t="s">
        <v>53</v>
      </c>
      <c r="M196" s="2">
        <f>Table1[[#This Row],[Revenue_INR]]-Table1[[#This Row],[Price_INR]]</f>
        <v>7897.5</v>
      </c>
      <c r="N196">
        <f>YEAR(Table1[[#This Row],[Date]])</f>
        <v>2024</v>
      </c>
      <c r="O196" s="2">
        <f t="shared" si="12"/>
        <v>2065.5</v>
      </c>
      <c r="P196" s="7">
        <f t="shared" si="13"/>
        <v>76.470588235294116</v>
      </c>
      <c r="Q196" s="2">
        <f t="shared" si="14"/>
        <v>1822.5</v>
      </c>
      <c r="R196" s="5" t="str">
        <f t="shared" si="15"/>
        <v>Below Average</v>
      </c>
      <c r="S196" s="5" t="str">
        <f>Table1[[#This Row],[Quarter]]&amp;" - "&amp;Table1[[#This Row],[City]]</f>
        <v>Q1 - Kolkata</v>
      </c>
    </row>
    <row r="197" spans="1:19" x14ac:dyDescent="0.3">
      <c r="A197" t="s">
        <v>257</v>
      </c>
      <c r="B197" s="1">
        <v>45362</v>
      </c>
      <c r="C197" t="s">
        <v>223</v>
      </c>
      <c r="D197" t="s">
        <v>14</v>
      </c>
      <c r="E197" t="s">
        <v>15</v>
      </c>
      <c r="F197" t="s">
        <v>31</v>
      </c>
      <c r="G197" t="s">
        <v>131</v>
      </c>
      <c r="H197">
        <v>10</v>
      </c>
      <c r="I197">
        <v>5880</v>
      </c>
      <c r="J197">
        <v>20</v>
      </c>
      <c r="K197">
        <v>47040</v>
      </c>
      <c r="L197" t="s">
        <v>53</v>
      </c>
      <c r="M197" s="2">
        <f>Table1[[#This Row],[Revenue_INR]]-Table1[[#This Row],[Price_INR]]</f>
        <v>41160</v>
      </c>
      <c r="N197">
        <f>YEAR(Table1[[#This Row],[Date]])</f>
        <v>2024</v>
      </c>
      <c r="O197" s="2">
        <f t="shared" si="12"/>
        <v>4704</v>
      </c>
      <c r="P197" s="7">
        <f t="shared" si="13"/>
        <v>87.5</v>
      </c>
      <c r="Q197" s="2">
        <f t="shared" si="14"/>
        <v>11760</v>
      </c>
      <c r="R197" s="5" t="str">
        <f t="shared" si="15"/>
        <v>Above Average</v>
      </c>
      <c r="S197" s="5" t="str">
        <f>Table1[[#This Row],[Quarter]]&amp;" - "&amp;Table1[[#This Row],[City]]</f>
        <v>Q1 - Kolkata</v>
      </c>
    </row>
    <row r="198" spans="1:19" x14ac:dyDescent="0.3">
      <c r="A198" t="s">
        <v>258</v>
      </c>
      <c r="B198" s="1">
        <v>45362</v>
      </c>
      <c r="C198" t="s">
        <v>223</v>
      </c>
      <c r="D198" t="s">
        <v>14</v>
      </c>
      <c r="E198" t="s">
        <v>34</v>
      </c>
      <c r="F198" t="s">
        <v>21</v>
      </c>
      <c r="G198" t="s">
        <v>75</v>
      </c>
      <c r="H198">
        <v>13</v>
      </c>
      <c r="I198">
        <v>2310</v>
      </c>
      <c r="J198">
        <v>5</v>
      </c>
      <c r="K198">
        <v>28528.5</v>
      </c>
      <c r="L198" t="s">
        <v>49</v>
      </c>
      <c r="M198" s="2">
        <f>Table1[[#This Row],[Revenue_INR]]-Table1[[#This Row],[Price_INR]]</f>
        <v>26218.5</v>
      </c>
      <c r="N198">
        <f>YEAR(Table1[[#This Row],[Date]])</f>
        <v>2024</v>
      </c>
      <c r="O198" s="2">
        <f t="shared" si="12"/>
        <v>2194.5</v>
      </c>
      <c r="P198" s="7">
        <f t="shared" si="13"/>
        <v>91.902834008097173</v>
      </c>
      <c r="Q198" s="2">
        <f t="shared" si="14"/>
        <v>1501.5</v>
      </c>
      <c r="R198" s="5" t="str">
        <f t="shared" si="15"/>
        <v>Above Average</v>
      </c>
      <c r="S198" s="5" t="str">
        <f>Table1[[#This Row],[Quarter]]&amp;" - "&amp;Table1[[#This Row],[City]]</f>
        <v>Q1 - Delhi</v>
      </c>
    </row>
    <row r="199" spans="1:19" x14ac:dyDescent="0.3">
      <c r="A199" t="s">
        <v>259</v>
      </c>
      <c r="B199" s="1">
        <v>45362</v>
      </c>
      <c r="C199" t="s">
        <v>223</v>
      </c>
      <c r="D199" t="s">
        <v>14</v>
      </c>
      <c r="E199" t="s">
        <v>34</v>
      </c>
      <c r="F199" t="s">
        <v>21</v>
      </c>
      <c r="G199" t="s">
        <v>22</v>
      </c>
      <c r="H199">
        <v>7</v>
      </c>
      <c r="I199">
        <v>1720</v>
      </c>
      <c r="J199">
        <v>25</v>
      </c>
      <c r="K199">
        <v>9030</v>
      </c>
      <c r="L199" t="s">
        <v>45</v>
      </c>
      <c r="M199" s="2">
        <f>Table1[[#This Row],[Revenue_INR]]-Table1[[#This Row],[Price_INR]]</f>
        <v>7310</v>
      </c>
      <c r="N199">
        <f>YEAR(Table1[[#This Row],[Date]])</f>
        <v>2024</v>
      </c>
      <c r="O199" s="2">
        <f t="shared" si="12"/>
        <v>1290</v>
      </c>
      <c r="P199" s="7">
        <f t="shared" si="13"/>
        <v>80.952380952380949</v>
      </c>
      <c r="Q199" s="2">
        <f t="shared" si="14"/>
        <v>3010</v>
      </c>
      <c r="R199" s="5" t="str">
        <f t="shared" si="15"/>
        <v>Below Average</v>
      </c>
      <c r="S199" s="5" t="str">
        <f>Table1[[#This Row],[Quarter]]&amp;" - "&amp;Table1[[#This Row],[City]]</f>
        <v>Q1 - Delhi</v>
      </c>
    </row>
    <row r="200" spans="1:19" x14ac:dyDescent="0.3">
      <c r="A200" t="s">
        <v>260</v>
      </c>
      <c r="B200" s="1">
        <v>45362</v>
      </c>
      <c r="C200" t="s">
        <v>223</v>
      </c>
      <c r="D200" t="s">
        <v>14</v>
      </c>
      <c r="E200" t="s">
        <v>25</v>
      </c>
      <c r="F200" t="s">
        <v>21</v>
      </c>
      <c r="G200" t="s">
        <v>71</v>
      </c>
      <c r="H200">
        <v>1</v>
      </c>
      <c r="I200">
        <v>2150</v>
      </c>
      <c r="J200">
        <v>0</v>
      </c>
      <c r="K200">
        <v>2150</v>
      </c>
      <c r="L200" t="s">
        <v>66</v>
      </c>
      <c r="M200" s="2">
        <f>Table1[[#This Row],[Revenue_INR]]-Table1[[#This Row],[Price_INR]]</f>
        <v>0</v>
      </c>
      <c r="N200">
        <f>YEAR(Table1[[#This Row],[Date]])</f>
        <v>2024</v>
      </c>
      <c r="O200" s="2">
        <f t="shared" si="12"/>
        <v>2150</v>
      </c>
      <c r="P200" s="7">
        <f t="shared" si="13"/>
        <v>0</v>
      </c>
      <c r="Q200" s="2">
        <f t="shared" si="14"/>
        <v>0</v>
      </c>
      <c r="R200" s="5" t="str">
        <f t="shared" si="15"/>
        <v>Below Average</v>
      </c>
      <c r="S200" s="5" t="str">
        <f>Table1[[#This Row],[Quarter]]&amp;" - "&amp;Table1[[#This Row],[City]]</f>
        <v>Q1 - Hyderabad</v>
      </c>
    </row>
    <row r="201" spans="1:19" x14ac:dyDescent="0.3">
      <c r="A201" t="s">
        <v>261</v>
      </c>
      <c r="B201" s="1">
        <v>45362</v>
      </c>
      <c r="C201" t="s">
        <v>223</v>
      </c>
      <c r="D201" t="s">
        <v>14</v>
      </c>
      <c r="E201" t="s">
        <v>34</v>
      </c>
      <c r="F201" t="s">
        <v>16</v>
      </c>
      <c r="G201" t="s">
        <v>44</v>
      </c>
      <c r="H201">
        <v>7</v>
      </c>
      <c r="I201">
        <v>1680</v>
      </c>
      <c r="J201">
        <v>20</v>
      </c>
      <c r="K201">
        <v>9408</v>
      </c>
      <c r="L201" t="s">
        <v>36</v>
      </c>
      <c r="M201" s="2">
        <f>Table1[[#This Row],[Revenue_INR]]-Table1[[#This Row],[Price_INR]]</f>
        <v>7728</v>
      </c>
      <c r="N201">
        <f>YEAR(Table1[[#This Row],[Date]])</f>
        <v>2024</v>
      </c>
      <c r="O201" s="2">
        <f t="shared" si="12"/>
        <v>1344</v>
      </c>
      <c r="P201" s="7">
        <f t="shared" si="13"/>
        <v>82.142857142857139</v>
      </c>
      <c r="Q201" s="2">
        <f t="shared" si="14"/>
        <v>2352</v>
      </c>
      <c r="R201" s="5" t="str">
        <f t="shared" si="15"/>
        <v>Below Average</v>
      </c>
      <c r="S201" s="5" t="str">
        <f>Table1[[#This Row],[Quarter]]&amp;" - "&amp;Table1[[#This Row],[City]]</f>
        <v>Q1 - Delhi</v>
      </c>
    </row>
    <row r="202" spans="1:19" x14ac:dyDescent="0.3">
      <c r="A202" t="s">
        <v>262</v>
      </c>
      <c r="B202" s="1">
        <v>45363</v>
      </c>
      <c r="C202" t="s">
        <v>223</v>
      </c>
      <c r="D202" t="s">
        <v>14</v>
      </c>
      <c r="E202" t="s">
        <v>34</v>
      </c>
      <c r="F202" t="s">
        <v>47</v>
      </c>
      <c r="G202" t="s">
        <v>102</v>
      </c>
      <c r="H202">
        <v>15</v>
      </c>
      <c r="I202">
        <v>3040</v>
      </c>
      <c r="J202">
        <v>20</v>
      </c>
      <c r="K202">
        <v>36480</v>
      </c>
      <c r="L202" t="s">
        <v>49</v>
      </c>
      <c r="M202" s="2">
        <f>Table1[[#This Row],[Revenue_INR]]-Table1[[#This Row],[Price_INR]]</f>
        <v>33440</v>
      </c>
      <c r="N202">
        <f>YEAR(Table1[[#This Row],[Date]])</f>
        <v>2024</v>
      </c>
      <c r="O202" s="2">
        <f t="shared" si="12"/>
        <v>2432</v>
      </c>
      <c r="P202" s="7">
        <f t="shared" si="13"/>
        <v>91.666666666666657</v>
      </c>
      <c r="Q202" s="2">
        <f t="shared" si="14"/>
        <v>9120</v>
      </c>
      <c r="R202" s="5" t="str">
        <f t="shared" si="15"/>
        <v>Above Average</v>
      </c>
      <c r="S202" s="5" t="str">
        <f>Table1[[#This Row],[Quarter]]&amp;" - "&amp;Table1[[#This Row],[City]]</f>
        <v>Q1 - Delhi</v>
      </c>
    </row>
    <row r="203" spans="1:19" x14ac:dyDescent="0.3">
      <c r="A203" t="s">
        <v>263</v>
      </c>
      <c r="B203" s="1">
        <v>45363</v>
      </c>
      <c r="C203" t="s">
        <v>223</v>
      </c>
      <c r="D203" t="s">
        <v>14</v>
      </c>
      <c r="E203" t="s">
        <v>20</v>
      </c>
      <c r="F203" t="s">
        <v>21</v>
      </c>
      <c r="G203" t="s">
        <v>75</v>
      </c>
      <c r="H203">
        <v>14</v>
      </c>
      <c r="I203">
        <v>3070</v>
      </c>
      <c r="J203">
        <v>30</v>
      </c>
      <c r="K203">
        <v>30086</v>
      </c>
      <c r="L203" t="s">
        <v>77</v>
      </c>
      <c r="M203" s="2">
        <f>Table1[[#This Row],[Revenue_INR]]-Table1[[#This Row],[Price_INR]]</f>
        <v>27016</v>
      </c>
      <c r="N203">
        <f>YEAR(Table1[[#This Row],[Date]])</f>
        <v>2024</v>
      </c>
      <c r="O203" s="2">
        <f t="shared" si="12"/>
        <v>2149</v>
      </c>
      <c r="P203" s="7">
        <f t="shared" si="13"/>
        <v>89.795918367346943</v>
      </c>
      <c r="Q203" s="2">
        <f t="shared" si="14"/>
        <v>12894</v>
      </c>
      <c r="R203" s="5" t="str">
        <f t="shared" si="15"/>
        <v>Above Average</v>
      </c>
      <c r="S203" s="5" t="str">
        <f>Table1[[#This Row],[Quarter]]&amp;" - "&amp;Table1[[#This Row],[City]]</f>
        <v>Q1 - Mumbai</v>
      </c>
    </row>
    <row r="204" spans="1:19" x14ac:dyDescent="0.3">
      <c r="A204" t="s">
        <v>264</v>
      </c>
      <c r="B204" s="1">
        <v>45363</v>
      </c>
      <c r="C204" t="s">
        <v>223</v>
      </c>
      <c r="D204" t="s">
        <v>14</v>
      </c>
      <c r="E204" t="s">
        <v>34</v>
      </c>
      <c r="F204" t="s">
        <v>16</v>
      </c>
      <c r="G204" t="s">
        <v>69</v>
      </c>
      <c r="H204">
        <v>3</v>
      </c>
      <c r="I204">
        <v>420</v>
      </c>
      <c r="J204">
        <v>15</v>
      </c>
      <c r="K204">
        <v>1071</v>
      </c>
      <c r="L204" t="s">
        <v>36</v>
      </c>
      <c r="M204" s="2">
        <f>Table1[[#This Row],[Revenue_INR]]-Table1[[#This Row],[Price_INR]]</f>
        <v>651</v>
      </c>
      <c r="N204">
        <f>YEAR(Table1[[#This Row],[Date]])</f>
        <v>2024</v>
      </c>
      <c r="O204" s="2">
        <f t="shared" si="12"/>
        <v>357</v>
      </c>
      <c r="P204" s="7">
        <f t="shared" si="13"/>
        <v>60.784313725490193</v>
      </c>
      <c r="Q204" s="2">
        <f t="shared" si="14"/>
        <v>189</v>
      </c>
      <c r="R204" s="5" t="str">
        <f t="shared" si="15"/>
        <v>Below Average</v>
      </c>
      <c r="S204" s="5" t="str">
        <f>Table1[[#This Row],[Quarter]]&amp;" - "&amp;Table1[[#This Row],[City]]</f>
        <v>Q1 - Delhi</v>
      </c>
    </row>
    <row r="205" spans="1:19" x14ac:dyDescent="0.3">
      <c r="A205" t="s">
        <v>265</v>
      </c>
      <c r="B205" s="1">
        <v>45364</v>
      </c>
      <c r="C205" t="s">
        <v>223</v>
      </c>
      <c r="D205" t="s">
        <v>14</v>
      </c>
      <c r="E205" t="s">
        <v>25</v>
      </c>
      <c r="F205" t="s">
        <v>60</v>
      </c>
      <c r="G205" t="s">
        <v>85</v>
      </c>
      <c r="H205">
        <v>2</v>
      </c>
      <c r="I205">
        <v>1240</v>
      </c>
      <c r="J205">
        <v>10</v>
      </c>
      <c r="K205">
        <v>2232</v>
      </c>
      <c r="L205" t="s">
        <v>28</v>
      </c>
      <c r="M205" s="2">
        <f>Table1[[#This Row],[Revenue_INR]]-Table1[[#This Row],[Price_INR]]</f>
        <v>992</v>
      </c>
      <c r="N205">
        <f>YEAR(Table1[[#This Row],[Date]])</f>
        <v>2024</v>
      </c>
      <c r="O205" s="2">
        <f t="shared" si="12"/>
        <v>1116</v>
      </c>
      <c r="P205" s="7">
        <f t="shared" si="13"/>
        <v>44.444444444444443</v>
      </c>
      <c r="Q205" s="2">
        <f t="shared" si="14"/>
        <v>248</v>
      </c>
      <c r="R205" s="5" t="str">
        <f t="shared" si="15"/>
        <v>Below Average</v>
      </c>
      <c r="S205" s="5" t="str">
        <f>Table1[[#This Row],[Quarter]]&amp;" - "&amp;Table1[[#This Row],[City]]</f>
        <v>Q1 - Hyderabad</v>
      </c>
    </row>
    <row r="206" spans="1:19" x14ac:dyDescent="0.3">
      <c r="A206" t="s">
        <v>266</v>
      </c>
      <c r="B206" s="1">
        <v>45364</v>
      </c>
      <c r="C206" t="s">
        <v>223</v>
      </c>
      <c r="D206" t="s">
        <v>14</v>
      </c>
      <c r="E206" t="s">
        <v>34</v>
      </c>
      <c r="F206" t="s">
        <v>31</v>
      </c>
      <c r="G206" t="s">
        <v>32</v>
      </c>
      <c r="H206">
        <v>10</v>
      </c>
      <c r="I206">
        <v>2670</v>
      </c>
      <c r="J206">
        <v>25</v>
      </c>
      <c r="K206">
        <v>20025</v>
      </c>
      <c r="L206" t="s">
        <v>49</v>
      </c>
      <c r="M206" s="2">
        <f>Table1[[#This Row],[Revenue_INR]]-Table1[[#This Row],[Price_INR]]</f>
        <v>17355</v>
      </c>
      <c r="N206">
        <f>YEAR(Table1[[#This Row],[Date]])</f>
        <v>2024</v>
      </c>
      <c r="O206" s="2">
        <f t="shared" si="12"/>
        <v>2002.5</v>
      </c>
      <c r="P206" s="7">
        <f t="shared" si="13"/>
        <v>86.666666666666671</v>
      </c>
      <c r="Q206" s="2">
        <f t="shared" si="14"/>
        <v>6675</v>
      </c>
      <c r="R206" s="5" t="str">
        <f t="shared" si="15"/>
        <v>Below Average</v>
      </c>
      <c r="S206" s="5" t="str">
        <f>Table1[[#This Row],[Quarter]]&amp;" - "&amp;Table1[[#This Row],[City]]</f>
        <v>Q1 - Delhi</v>
      </c>
    </row>
    <row r="207" spans="1:19" x14ac:dyDescent="0.3">
      <c r="A207" t="s">
        <v>267</v>
      </c>
      <c r="B207" s="1">
        <v>45365</v>
      </c>
      <c r="C207" t="s">
        <v>223</v>
      </c>
      <c r="D207" t="s">
        <v>14</v>
      </c>
      <c r="E207" t="s">
        <v>34</v>
      </c>
      <c r="F207" t="s">
        <v>16</v>
      </c>
      <c r="G207" t="s">
        <v>17</v>
      </c>
      <c r="H207">
        <v>10</v>
      </c>
      <c r="I207">
        <v>560</v>
      </c>
      <c r="J207">
        <v>10</v>
      </c>
      <c r="K207">
        <v>5040</v>
      </c>
      <c r="L207" t="s">
        <v>45</v>
      </c>
      <c r="M207" s="2">
        <f>Table1[[#This Row],[Revenue_INR]]-Table1[[#This Row],[Price_INR]]</f>
        <v>4480</v>
      </c>
      <c r="N207">
        <f>YEAR(Table1[[#This Row],[Date]])</f>
        <v>2024</v>
      </c>
      <c r="O207" s="2">
        <f t="shared" si="12"/>
        <v>504</v>
      </c>
      <c r="P207" s="7">
        <f t="shared" si="13"/>
        <v>88.888888888888886</v>
      </c>
      <c r="Q207" s="2">
        <f t="shared" si="14"/>
        <v>560</v>
      </c>
      <c r="R207" s="5" t="str">
        <f t="shared" si="15"/>
        <v>Below Average</v>
      </c>
      <c r="S207" s="5" t="str">
        <f>Table1[[#This Row],[Quarter]]&amp;" - "&amp;Table1[[#This Row],[City]]</f>
        <v>Q1 - Delhi</v>
      </c>
    </row>
    <row r="208" spans="1:19" x14ac:dyDescent="0.3">
      <c r="A208" t="s">
        <v>268</v>
      </c>
      <c r="B208" s="1">
        <v>45365</v>
      </c>
      <c r="C208" t="s">
        <v>223</v>
      </c>
      <c r="D208" t="s">
        <v>14</v>
      </c>
      <c r="E208" t="s">
        <v>15</v>
      </c>
      <c r="F208" t="s">
        <v>26</v>
      </c>
      <c r="G208" t="s">
        <v>80</v>
      </c>
      <c r="H208">
        <v>10</v>
      </c>
      <c r="I208">
        <v>8770</v>
      </c>
      <c r="J208">
        <v>5</v>
      </c>
      <c r="K208">
        <v>83315</v>
      </c>
      <c r="L208" t="s">
        <v>53</v>
      </c>
      <c r="M208" s="2">
        <f>Table1[[#This Row],[Revenue_INR]]-Table1[[#This Row],[Price_INR]]</f>
        <v>74545</v>
      </c>
      <c r="N208">
        <f>YEAR(Table1[[#This Row],[Date]])</f>
        <v>2024</v>
      </c>
      <c r="O208" s="2">
        <f t="shared" si="12"/>
        <v>8331.5</v>
      </c>
      <c r="P208" s="7">
        <f t="shared" si="13"/>
        <v>89.473684210526315</v>
      </c>
      <c r="Q208" s="2">
        <f t="shared" si="14"/>
        <v>4385</v>
      </c>
      <c r="R208" s="5" t="str">
        <f t="shared" si="15"/>
        <v>Above Average</v>
      </c>
      <c r="S208" s="5" t="str">
        <f>Table1[[#This Row],[Quarter]]&amp;" - "&amp;Table1[[#This Row],[City]]</f>
        <v>Q1 - Kolkata</v>
      </c>
    </row>
    <row r="209" spans="1:19" x14ac:dyDescent="0.3">
      <c r="A209" t="s">
        <v>269</v>
      </c>
      <c r="B209" s="1">
        <v>45365</v>
      </c>
      <c r="C209" t="s">
        <v>223</v>
      </c>
      <c r="D209" t="s">
        <v>14</v>
      </c>
      <c r="E209" t="s">
        <v>20</v>
      </c>
      <c r="F209" t="s">
        <v>21</v>
      </c>
      <c r="G209" t="s">
        <v>94</v>
      </c>
      <c r="H209">
        <v>4</v>
      </c>
      <c r="I209">
        <v>840</v>
      </c>
      <c r="J209">
        <v>20</v>
      </c>
      <c r="K209">
        <v>2688</v>
      </c>
      <c r="L209" t="s">
        <v>77</v>
      </c>
      <c r="M209" s="2">
        <f>Table1[[#This Row],[Revenue_INR]]-Table1[[#This Row],[Price_INR]]</f>
        <v>1848</v>
      </c>
      <c r="N209">
        <f>YEAR(Table1[[#This Row],[Date]])</f>
        <v>2024</v>
      </c>
      <c r="O209" s="2">
        <f t="shared" si="12"/>
        <v>672</v>
      </c>
      <c r="P209" s="7">
        <f t="shared" si="13"/>
        <v>68.75</v>
      </c>
      <c r="Q209" s="2">
        <f t="shared" si="14"/>
        <v>672</v>
      </c>
      <c r="R209" s="5" t="str">
        <f t="shared" si="15"/>
        <v>Below Average</v>
      </c>
      <c r="S209" s="5" t="str">
        <f>Table1[[#This Row],[Quarter]]&amp;" - "&amp;Table1[[#This Row],[City]]</f>
        <v>Q1 - Mumbai</v>
      </c>
    </row>
    <row r="210" spans="1:19" x14ac:dyDescent="0.3">
      <c r="A210" t="s">
        <v>270</v>
      </c>
      <c r="B210" s="1">
        <v>45365</v>
      </c>
      <c r="C210" t="s">
        <v>223</v>
      </c>
      <c r="D210" t="s">
        <v>14</v>
      </c>
      <c r="E210" t="s">
        <v>25</v>
      </c>
      <c r="F210" t="s">
        <v>31</v>
      </c>
      <c r="G210" t="s">
        <v>35</v>
      </c>
      <c r="H210">
        <v>15</v>
      </c>
      <c r="I210">
        <v>5930</v>
      </c>
      <c r="J210">
        <v>15</v>
      </c>
      <c r="K210">
        <v>75607.5</v>
      </c>
      <c r="L210" t="s">
        <v>28</v>
      </c>
      <c r="M210" s="2">
        <f>Table1[[#This Row],[Revenue_INR]]-Table1[[#This Row],[Price_INR]]</f>
        <v>69677.5</v>
      </c>
      <c r="N210">
        <f>YEAR(Table1[[#This Row],[Date]])</f>
        <v>2024</v>
      </c>
      <c r="O210" s="2">
        <f t="shared" si="12"/>
        <v>5040.5</v>
      </c>
      <c r="P210" s="7">
        <f t="shared" si="13"/>
        <v>92.156862745098039</v>
      </c>
      <c r="Q210" s="2">
        <f t="shared" si="14"/>
        <v>13342.5</v>
      </c>
      <c r="R210" s="5" t="str">
        <f t="shared" si="15"/>
        <v>Above Average</v>
      </c>
      <c r="S210" s="5" t="str">
        <f>Table1[[#This Row],[Quarter]]&amp;" - "&amp;Table1[[#This Row],[City]]</f>
        <v>Q1 - Hyderabad</v>
      </c>
    </row>
    <row r="211" spans="1:19" x14ac:dyDescent="0.3">
      <c r="A211" t="s">
        <v>271</v>
      </c>
      <c r="B211" s="1">
        <v>45366</v>
      </c>
      <c r="C211" t="s">
        <v>223</v>
      </c>
      <c r="D211" t="s">
        <v>14</v>
      </c>
      <c r="E211" t="s">
        <v>34</v>
      </c>
      <c r="F211" t="s">
        <v>47</v>
      </c>
      <c r="G211" t="s">
        <v>55</v>
      </c>
      <c r="H211">
        <v>1</v>
      </c>
      <c r="I211">
        <v>5660</v>
      </c>
      <c r="J211">
        <v>15</v>
      </c>
      <c r="K211">
        <v>4811</v>
      </c>
      <c r="L211" t="s">
        <v>45</v>
      </c>
      <c r="M211" s="2">
        <f>Table1[[#This Row],[Revenue_INR]]-Table1[[#This Row],[Price_INR]]</f>
        <v>-849</v>
      </c>
      <c r="N211">
        <f>YEAR(Table1[[#This Row],[Date]])</f>
        <v>2024</v>
      </c>
      <c r="O211" s="2">
        <f t="shared" si="12"/>
        <v>4811</v>
      </c>
      <c r="P211" s="7">
        <f t="shared" si="13"/>
        <v>-17.647058823529413</v>
      </c>
      <c r="Q211" s="2">
        <f t="shared" si="14"/>
        <v>849</v>
      </c>
      <c r="R211" s="5" t="str">
        <f t="shared" si="15"/>
        <v>Below Average</v>
      </c>
      <c r="S211" s="5" t="str">
        <f>Table1[[#This Row],[Quarter]]&amp;" - "&amp;Table1[[#This Row],[City]]</f>
        <v>Q1 - Delhi</v>
      </c>
    </row>
    <row r="212" spans="1:19" x14ac:dyDescent="0.3">
      <c r="A212" t="s">
        <v>272</v>
      </c>
      <c r="B212" s="1">
        <v>45366</v>
      </c>
      <c r="C212" t="s">
        <v>223</v>
      </c>
      <c r="D212" t="s">
        <v>14</v>
      </c>
      <c r="E212" t="s">
        <v>25</v>
      </c>
      <c r="F212" t="s">
        <v>47</v>
      </c>
      <c r="G212" t="s">
        <v>51</v>
      </c>
      <c r="H212">
        <v>10</v>
      </c>
      <c r="I212">
        <v>3250</v>
      </c>
      <c r="J212">
        <v>25</v>
      </c>
      <c r="K212">
        <v>24375</v>
      </c>
      <c r="L212" t="s">
        <v>66</v>
      </c>
      <c r="M212" s="2">
        <f>Table1[[#This Row],[Revenue_INR]]-Table1[[#This Row],[Price_INR]]</f>
        <v>21125</v>
      </c>
      <c r="N212">
        <f>YEAR(Table1[[#This Row],[Date]])</f>
        <v>2024</v>
      </c>
      <c r="O212" s="2">
        <f t="shared" si="12"/>
        <v>2437.5</v>
      </c>
      <c r="P212" s="7">
        <f t="shared" si="13"/>
        <v>86.666666666666671</v>
      </c>
      <c r="Q212" s="2">
        <f t="shared" si="14"/>
        <v>8125</v>
      </c>
      <c r="R212" s="5" t="str">
        <f t="shared" si="15"/>
        <v>Below Average</v>
      </c>
      <c r="S212" s="5" t="str">
        <f>Table1[[#This Row],[Quarter]]&amp;" - "&amp;Table1[[#This Row],[City]]</f>
        <v>Q1 - Hyderabad</v>
      </c>
    </row>
    <row r="213" spans="1:19" x14ac:dyDescent="0.3">
      <c r="A213" t="s">
        <v>273</v>
      </c>
      <c r="B213" s="1">
        <v>45366</v>
      </c>
      <c r="C213" t="s">
        <v>223</v>
      </c>
      <c r="D213" t="s">
        <v>14</v>
      </c>
      <c r="E213" t="s">
        <v>15</v>
      </c>
      <c r="F213" t="s">
        <v>16</v>
      </c>
      <c r="G213" t="s">
        <v>69</v>
      </c>
      <c r="H213">
        <v>14</v>
      </c>
      <c r="I213">
        <v>1190</v>
      </c>
      <c r="J213">
        <v>30</v>
      </c>
      <c r="K213">
        <v>11662</v>
      </c>
      <c r="L213" t="s">
        <v>92</v>
      </c>
      <c r="M213" s="2">
        <f>Table1[[#This Row],[Revenue_INR]]-Table1[[#This Row],[Price_INR]]</f>
        <v>10472</v>
      </c>
      <c r="N213">
        <f>YEAR(Table1[[#This Row],[Date]])</f>
        <v>2024</v>
      </c>
      <c r="O213" s="2">
        <f t="shared" si="12"/>
        <v>833</v>
      </c>
      <c r="P213" s="7">
        <f t="shared" si="13"/>
        <v>89.795918367346943</v>
      </c>
      <c r="Q213" s="2">
        <f t="shared" si="14"/>
        <v>4998</v>
      </c>
      <c r="R213" s="5" t="str">
        <f t="shared" si="15"/>
        <v>Below Average</v>
      </c>
      <c r="S213" s="5" t="str">
        <f>Table1[[#This Row],[Quarter]]&amp;" - "&amp;Table1[[#This Row],[City]]</f>
        <v>Q1 - Kolkata</v>
      </c>
    </row>
    <row r="214" spans="1:19" x14ac:dyDescent="0.3">
      <c r="A214" t="s">
        <v>274</v>
      </c>
      <c r="B214" s="1">
        <v>45368</v>
      </c>
      <c r="C214" t="s">
        <v>223</v>
      </c>
      <c r="D214" t="s">
        <v>14</v>
      </c>
      <c r="E214" t="s">
        <v>34</v>
      </c>
      <c r="F214" t="s">
        <v>21</v>
      </c>
      <c r="G214" t="s">
        <v>71</v>
      </c>
      <c r="H214">
        <v>4</v>
      </c>
      <c r="I214">
        <v>3110</v>
      </c>
      <c r="J214">
        <v>5</v>
      </c>
      <c r="K214">
        <v>11818</v>
      </c>
      <c r="L214" t="s">
        <v>49</v>
      </c>
      <c r="M214" s="2">
        <f>Table1[[#This Row],[Revenue_INR]]-Table1[[#This Row],[Price_INR]]</f>
        <v>8708</v>
      </c>
      <c r="N214">
        <f>YEAR(Table1[[#This Row],[Date]])</f>
        <v>2024</v>
      </c>
      <c r="O214" s="2">
        <f t="shared" si="12"/>
        <v>2954.5</v>
      </c>
      <c r="P214" s="7">
        <f t="shared" si="13"/>
        <v>73.68421052631578</v>
      </c>
      <c r="Q214" s="2">
        <f t="shared" si="14"/>
        <v>622</v>
      </c>
      <c r="R214" s="5" t="str">
        <f t="shared" si="15"/>
        <v>Below Average</v>
      </c>
      <c r="S214" s="5" t="str">
        <f>Table1[[#This Row],[Quarter]]&amp;" - "&amp;Table1[[#This Row],[City]]</f>
        <v>Q1 - Delhi</v>
      </c>
    </row>
    <row r="215" spans="1:19" x14ac:dyDescent="0.3">
      <c r="A215" t="s">
        <v>275</v>
      </c>
      <c r="B215" s="1">
        <v>45368</v>
      </c>
      <c r="C215" t="s">
        <v>223</v>
      </c>
      <c r="D215" t="s">
        <v>14</v>
      </c>
      <c r="E215" t="s">
        <v>25</v>
      </c>
      <c r="F215" t="s">
        <v>47</v>
      </c>
      <c r="G215" t="s">
        <v>51</v>
      </c>
      <c r="H215">
        <v>4</v>
      </c>
      <c r="I215">
        <v>3930</v>
      </c>
      <c r="J215">
        <v>0</v>
      </c>
      <c r="K215">
        <v>15720</v>
      </c>
      <c r="L215" t="s">
        <v>66</v>
      </c>
      <c r="M215" s="2">
        <f>Table1[[#This Row],[Revenue_INR]]-Table1[[#This Row],[Price_INR]]</f>
        <v>11790</v>
      </c>
      <c r="N215">
        <f>YEAR(Table1[[#This Row],[Date]])</f>
        <v>2024</v>
      </c>
      <c r="O215" s="2">
        <f t="shared" si="12"/>
        <v>3930</v>
      </c>
      <c r="P215" s="7">
        <f t="shared" si="13"/>
        <v>75</v>
      </c>
      <c r="Q215" s="2">
        <f t="shared" si="14"/>
        <v>0</v>
      </c>
      <c r="R215" s="5" t="str">
        <f t="shared" si="15"/>
        <v>Below Average</v>
      </c>
      <c r="S215" s="5" t="str">
        <f>Table1[[#This Row],[Quarter]]&amp;" - "&amp;Table1[[#This Row],[City]]</f>
        <v>Q1 - Hyderabad</v>
      </c>
    </row>
    <row r="216" spans="1:19" x14ac:dyDescent="0.3">
      <c r="A216" t="s">
        <v>276</v>
      </c>
      <c r="B216" s="1">
        <v>45369</v>
      </c>
      <c r="C216" t="s">
        <v>223</v>
      </c>
      <c r="D216" t="s">
        <v>14</v>
      </c>
      <c r="E216" t="s">
        <v>15</v>
      </c>
      <c r="F216" t="s">
        <v>26</v>
      </c>
      <c r="G216" t="s">
        <v>27</v>
      </c>
      <c r="H216">
        <v>14</v>
      </c>
      <c r="I216">
        <v>6250</v>
      </c>
      <c r="J216">
        <v>30</v>
      </c>
      <c r="K216">
        <v>61250</v>
      </c>
      <c r="L216" t="s">
        <v>92</v>
      </c>
      <c r="M216" s="2">
        <f>Table1[[#This Row],[Revenue_INR]]-Table1[[#This Row],[Price_INR]]</f>
        <v>55000</v>
      </c>
      <c r="N216">
        <f>YEAR(Table1[[#This Row],[Date]])</f>
        <v>2024</v>
      </c>
      <c r="O216" s="2">
        <f t="shared" si="12"/>
        <v>4375</v>
      </c>
      <c r="P216" s="7">
        <f t="shared" si="13"/>
        <v>89.795918367346943</v>
      </c>
      <c r="Q216" s="2">
        <f t="shared" si="14"/>
        <v>26250</v>
      </c>
      <c r="R216" s="5" t="str">
        <f t="shared" si="15"/>
        <v>Above Average</v>
      </c>
      <c r="S216" s="5" t="str">
        <f>Table1[[#This Row],[Quarter]]&amp;" - "&amp;Table1[[#This Row],[City]]</f>
        <v>Q1 - Kolkata</v>
      </c>
    </row>
    <row r="217" spans="1:19" x14ac:dyDescent="0.3">
      <c r="A217" t="s">
        <v>277</v>
      </c>
      <c r="B217" s="1">
        <v>45369</v>
      </c>
      <c r="C217" t="s">
        <v>223</v>
      </c>
      <c r="D217" t="s">
        <v>14</v>
      </c>
      <c r="E217" t="s">
        <v>20</v>
      </c>
      <c r="F217" t="s">
        <v>21</v>
      </c>
      <c r="G217" t="s">
        <v>94</v>
      </c>
      <c r="H217">
        <v>3</v>
      </c>
      <c r="I217">
        <v>1100</v>
      </c>
      <c r="J217">
        <v>15</v>
      </c>
      <c r="K217">
        <v>2805</v>
      </c>
      <c r="L217" t="s">
        <v>39</v>
      </c>
      <c r="M217" s="2">
        <f>Table1[[#This Row],[Revenue_INR]]-Table1[[#This Row],[Price_INR]]</f>
        <v>1705</v>
      </c>
      <c r="N217">
        <f>YEAR(Table1[[#This Row],[Date]])</f>
        <v>2024</v>
      </c>
      <c r="O217" s="2">
        <f t="shared" si="12"/>
        <v>935</v>
      </c>
      <c r="P217" s="7">
        <f t="shared" si="13"/>
        <v>60.784313725490193</v>
      </c>
      <c r="Q217" s="2">
        <f t="shared" si="14"/>
        <v>495</v>
      </c>
      <c r="R217" s="5" t="str">
        <f t="shared" si="15"/>
        <v>Below Average</v>
      </c>
      <c r="S217" s="5" t="str">
        <f>Table1[[#This Row],[Quarter]]&amp;" - "&amp;Table1[[#This Row],[City]]</f>
        <v>Q1 - Mumbai</v>
      </c>
    </row>
    <row r="218" spans="1:19" x14ac:dyDescent="0.3">
      <c r="A218" t="s">
        <v>278</v>
      </c>
      <c r="B218" s="1">
        <v>45370</v>
      </c>
      <c r="C218" t="s">
        <v>223</v>
      </c>
      <c r="D218" t="s">
        <v>14</v>
      </c>
      <c r="E218" t="s">
        <v>20</v>
      </c>
      <c r="F218" t="s">
        <v>47</v>
      </c>
      <c r="G218" t="s">
        <v>55</v>
      </c>
      <c r="H218">
        <v>15</v>
      </c>
      <c r="I218">
        <v>7590</v>
      </c>
      <c r="J218">
        <v>20</v>
      </c>
      <c r="K218">
        <v>91080</v>
      </c>
      <c r="L218" t="s">
        <v>39</v>
      </c>
      <c r="M218" s="2">
        <f>Table1[[#This Row],[Revenue_INR]]-Table1[[#This Row],[Price_INR]]</f>
        <v>83490</v>
      </c>
      <c r="N218">
        <f>YEAR(Table1[[#This Row],[Date]])</f>
        <v>2024</v>
      </c>
      <c r="O218" s="2">
        <f t="shared" si="12"/>
        <v>6072</v>
      </c>
      <c r="P218" s="7">
        <f t="shared" si="13"/>
        <v>91.666666666666657</v>
      </c>
      <c r="Q218" s="2">
        <f t="shared" si="14"/>
        <v>22770</v>
      </c>
      <c r="R218" s="5" t="str">
        <f t="shared" si="15"/>
        <v>Above Average</v>
      </c>
      <c r="S218" s="5" t="str">
        <f>Table1[[#This Row],[Quarter]]&amp;" - "&amp;Table1[[#This Row],[City]]</f>
        <v>Q1 - Mumbai</v>
      </c>
    </row>
    <row r="219" spans="1:19" x14ac:dyDescent="0.3">
      <c r="A219" t="s">
        <v>279</v>
      </c>
      <c r="B219" s="1">
        <v>45370</v>
      </c>
      <c r="C219" t="s">
        <v>223</v>
      </c>
      <c r="D219" t="s">
        <v>14</v>
      </c>
      <c r="E219" t="s">
        <v>25</v>
      </c>
      <c r="F219" t="s">
        <v>60</v>
      </c>
      <c r="G219" t="s">
        <v>85</v>
      </c>
      <c r="H219">
        <v>3</v>
      </c>
      <c r="I219">
        <v>1090</v>
      </c>
      <c r="J219">
        <v>20</v>
      </c>
      <c r="K219">
        <v>2616</v>
      </c>
      <c r="L219" t="s">
        <v>66</v>
      </c>
      <c r="M219" s="2">
        <f>Table1[[#This Row],[Revenue_INR]]-Table1[[#This Row],[Price_INR]]</f>
        <v>1526</v>
      </c>
      <c r="N219">
        <f>YEAR(Table1[[#This Row],[Date]])</f>
        <v>2024</v>
      </c>
      <c r="O219" s="2">
        <f t="shared" si="12"/>
        <v>872</v>
      </c>
      <c r="P219" s="7">
        <f t="shared" si="13"/>
        <v>58.333333333333336</v>
      </c>
      <c r="Q219" s="2">
        <f t="shared" si="14"/>
        <v>654</v>
      </c>
      <c r="R219" s="5" t="str">
        <f t="shared" si="15"/>
        <v>Below Average</v>
      </c>
      <c r="S219" s="5" t="str">
        <f>Table1[[#This Row],[Quarter]]&amp;" - "&amp;Table1[[#This Row],[City]]</f>
        <v>Q1 - Hyderabad</v>
      </c>
    </row>
    <row r="220" spans="1:19" x14ac:dyDescent="0.3">
      <c r="A220" t="s">
        <v>280</v>
      </c>
      <c r="B220" s="1">
        <v>45370</v>
      </c>
      <c r="C220" t="s">
        <v>223</v>
      </c>
      <c r="D220" t="s">
        <v>14</v>
      </c>
      <c r="E220" t="s">
        <v>34</v>
      </c>
      <c r="F220" t="s">
        <v>21</v>
      </c>
      <c r="G220" t="s">
        <v>22</v>
      </c>
      <c r="H220">
        <v>12</v>
      </c>
      <c r="I220">
        <v>3070</v>
      </c>
      <c r="J220">
        <v>25</v>
      </c>
      <c r="K220">
        <v>27630</v>
      </c>
      <c r="L220" t="s">
        <v>45</v>
      </c>
      <c r="M220" s="2">
        <f>Table1[[#This Row],[Revenue_INR]]-Table1[[#This Row],[Price_INR]]</f>
        <v>24560</v>
      </c>
      <c r="N220">
        <f>YEAR(Table1[[#This Row],[Date]])</f>
        <v>2024</v>
      </c>
      <c r="O220" s="2">
        <f t="shared" si="12"/>
        <v>2302.5</v>
      </c>
      <c r="P220" s="7">
        <f t="shared" si="13"/>
        <v>88.888888888888886</v>
      </c>
      <c r="Q220" s="2">
        <f t="shared" si="14"/>
        <v>9210</v>
      </c>
      <c r="R220" s="5" t="str">
        <f t="shared" si="15"/>
        <v>Above Average</v>
      </c>
      <c r="S220" s="5" t="str">
        <f>Table1[[#This Row],[Quarter]]&amp;" - "&amp;Table1[[#This Row],[City]]</f>
        <v>Q1 - Delhi</v>
      </c>
    </row>
    <row r="221" spans="1:19" x14ac:dyDescent="0.3">
      <c r="A221" t="s">
        <v>281</v>
      </c>
      <c r="B221" s="1">
        <v>45371</v>
      </c>
      <c r="C221" t="s">
        <v>223</v>
      </c>
      <c r="D221" t="s">
        <v>14</v>
      </c>
      <c r="E221" t="s">
        <v>20</v>
      </c>
      <c r="F221" t="s">
        <v>47</v>
      </c>
      <c r="G221" t="s">
        <v>102</v>
      </c>
      <c r="H221">
        <v>8</v>
      </c>
      <c r="I221">
        <v>7380</v>
      </c>
      <c r="J221">
        <v>10</v>
      </c>
      <c r="K221">
        <v>53136</v>
      </c>
      <c r="L221" t="s">
        <v>39</v>
      </c>
      <c r="M221" s="2">
        <f>Table1[[#This Row],[Revenue_INR]]-Table1[[#This Row],[Price_INR]]</f>
        <v>45756</v>
      </c>
      <c r="N221">
        <f>YEAR(Table1[[#This Row],[Date]])</f>
        <v>2024</v>
      </c>
      <c r="O221" s="2">
        <f t="shared" si="12"/>
        <v>6642</v>
      </c>
      <c r="P221" s="7">
        <f t="shared" si="13"/>
        <v>86.111111111111114</v>
      </c>
      <c r="Q221" s="2">
        <f t="shared" si="14"/>
        <v>5904</v>
      </c>
      <c r="R221" s="5" t="str">
        <f t="shared" si="15"/>
        <v>Above Average</v>
      </c>
      <c r="S221" s="5" t="str">
        <f>Table1[[#This Row],[Quarter]]&amp;" - "&amp;Table1[[#This Row],[City]]</f>
        <v>Q1 - Mumbai</v>
      </c>
    </row>
    <row r="222" spans="1:19" x14ac:dyDescent="0.3">
      <c r="A222" t="s">
        <v>282</v>
      </c>
      <c r="B222" s="1">
        <v>45371</v>
      </c>
      <c r="C222" t="s">
        <v>223</v>
      </c>
      <c r="D222" t="s">
        <v>14</v>
      </c>
      <c r="E222" t="s">
        <v>34</v>
      </c>
      <c r="F222" t="s">
        <v>60</v>
      </c>
      <c r="G222" t="s">
        <v>99</v>
      </c>
      <c r="H222">
        <v>15</v>
      </c>
      <c r="I222">
        <v>750</v>
      </c>
      <c r="J222">
        <v>5</v>
      </c>
      <c r="K222">
        <v>10687.5</v>
      </c>
      <c r="L222" t="s">
        <v>36</v>
      </c>
      <c r="M222" s="2">
        <f>Table1[[#This Row],[Revenue_INR]]-Table1[[#This Row],[Price_INR]]</f>
        <v>9937.5</v>
      </c>
      <c r="N222">
        <f>YEAR(Table1[[#This Row],[Date]])</f>
        <v>2024</v>
      </c>
      <c r="O222" s="2">
        <f t="shared" si="12"/>
        <v>712.5</v>
      </c>
      <c r="P222" s="7">
        <f t="shared" si="13"/>
        <v>92.982456140350877</v>
      </c>
      <c r="Q222" s="2">
        <f t="shared" si="14"/>
        <v>562.5</v>
      </c>
      <c r="R222" s="5" t="str">
        <f t="shared" si="15"/>
        <v>Below Average</v>
      </c>
      <c r="S222" s="5" t="str">
        <f>Table1[[#This Row],[Quarter]]&amp;" - "&amp;Table1[[#This Row],[City]]</f>
        <v>Q1 - Delhi</v>
      </c>
    </row>
    <row r="223" spans="1:19" x14ac:dyDescent="0.3">
      <c r="A223" t="s">
        <v>283</v>
      </c>
      <c r="B223" s="1">
        <v>45372</v>
      </c>
      <c r="C223" t="s">
        <v>223</v>
      </c>
      <c r="D223" t="s">
        <v>14</v>
      </c>
      <c r="E223" t="s">
        <v>20</v>
      </c>
      <c r="F223" t="s">
        <v>16</v>
      </c>
      <c r="G223" t="s">
        <v>41</v>
      </c>
      <c r="H223">
        <v>15</v>
      </c>
      <c r="I223">
        <v>340</v>
      </c>
      <c r="J223">
        <v>30</v>
      </c>
      <c r="K223">
        <v>3570</v>
      </c>
      <c r="L223" t="s">
        <v>23</v>
      </c>
      <c r="M223" s="2">
        <f>Table1[[#This Row],[Revenue_INR]]-Table1[[#This Row],[Price_INR]]</f>
        <v>3230</v>
      </c>
      <c r="N223">
        <f>YEAR(Table1[[#This Row],[Date]])</f>
        <v>2024</v>
      </c>
      <c r="O223" s="2">
        <f t="shared" si="12"/>
        <v>238</v>
      </c>
      <c r="P223" s="7">
        <f t="shared" si="13"/>
        <v>90.476190476190482</v>
      </c>
      <c r="Q223" s="2">
        <f t="shared" si="14"/>
        <v>1530</v>
      </c>
      <c r="R223" s="5" t="str">
        <f t="shared" si="15"/>
        <v>Below Average</v>
      </c>
      <c r="S223" s="5" t="str">
        <f>Table1[[#This Row],[Quarter]]&amp;" - "&amp;Table1[[#This Row],[City]]</f>
        <v>Q1 - Mumbai</v>
      </c>
    </row>
    <row r="224" spans="1:19" x14ac:dyDescent="0.3">
      <c r="A224" t="s">
        <v>284</v>
      </c>
      <c r="B224" s="1">
        <v>45372</v>
      </c>
      <c r="C224" t="s">
        <v>223</v>
      </c>
      <c r="D224" t="s">
        <v>14</v>
      </c>
      <c r="E224" t="s">
        <v>20</v>
      </c>
      <c r="F224" t="s">
        <v>21</v>
      </c>
      <c r="G224" t="s">
        <v>94</v>
      </c>
      <c r="H224">
        <v>7</v>
      </c>
      <c r="I224">
        <v>1700</v>
      </c>
      <c r="J224">
        <v>25</v>
      </c>
      <c r="K224">
        <v>8925</v>
      </c>
      <c r="L224" t="s">
        <v>39</v>
      </c>
      <c r="M224" s="2">
        <f>Table1[[#This Row],[Revenue_INR]]-Table1[[#This Row],[Price_INR]]</f>
        <v>7225</v>
      </c>
      <c r="N224">
        <f>YEAR(Table1[[#This Row],[Date]])</f>
        <v>2024</v>
      </c>
      <c r="O224" s="2">
        <f t="shared" si="12"/>
        <v>1275</v>
      </c>
      <c r="P224" s="7">
        <f t="shared" si="13"/>
        <v>80.952380952380949</v>
      </c>
      <c r="Q224" s="2">
        <f t="shared" si="14"/>
        <v>2975</v>
      </c>
      <c r="R224" s="5" t="str">
        <f t="shared" si="15"/>
        <v>Below Average</v>
      </c>
      <c r="S224" s="5" t="str">
        <f>Table1[[#This Row],[Quarter]]&amp;" - "&amp;Table1[[#This Row],[City]]</f>
        <v>Q1 - Mumbai</v>
      </c>
    </row>
    <row r="225" spans="1:19" x14ac:dyDescent="0.3">
      <c r="A225" t="s">
        <v>285</v>
      </c>
      <c r="B225" s="1">
        <v>45373</v>
      </c>
      <c r="C225" t="s">
        <v>223</v>
      </c>
      <c r="D225" t="s">
        <v>14</v>
      </c>
      <c r="E225" t="s">
        <v>15</v>
      </c>
      <c r="F225" t="s">
        <v>26</v>
      </c>
      <c r="G225" t="s">
        <v>27</v>
      </c>
      <c r="H225">
        <v>1</v>
      </c>
      <c r="I225">
        <v>10810</v>
      </c>
      <c r="J225">
        <v>30</v>
      </c>
      <c r="K225">
        <v>7567</v>
      </c>
      <c r="L225" t="s">
        <v>18</v>
      </c>
      <c r="M225" s="2">
        <f>Table1[[#This Row],[Revenue_INR]]-Table1[[#This Row],[Price_INR]]</f>
        <v>-3243</v>
      </c>
      <c r="N225">
        <f>YEAR(Table1[[#This Row],[Date]])</f>
        <v>2024</v>
      </c>
      <c r="O225" s="2">
        <f t="shared" si="12"/>
        <v>7567</v>
      </c>
      <c r="P225" s="7">
        <f t="shared" si="13"/>
        <v>-42.857142857142854</v>
      </c>
      <c r="Q225" s="2">
        <f t="shared" si="14"/>
        <v>3243</v>
      </c>
      <c r="R225" s="5" t="str">
        <f t="shared" si="15"/>
        <v>Below Average</v>
      </c>
      <c r="S225" s="5" t="str">
        <f>Table1[[#This Row],[Quarter]]&amp;" - "&amp;Table1[[#This Row],[City]]</f>
        <v>Q1 - Kolkata</v>
      </c>
    </row>
    <row r="226" spans="1:19" x14ac:dyDescent="0.3">
      <c r="A226" t="s">
        <v>286</v>
      </c>
      <c r="B226" s="1">
        <v>45373</v>
      </c>
      <c r="C226" t="s">
        <v>223</v>
      </c>
      <c r="D226" t="s">
        <v>14</v>
      </c>
      <c r="E226" t="s">
        <v>15</v>
      </c>
      <c r="F226" t="s">
        <v>26</v>
      </c>
      <c r="G226" t="s">
        <v>27</v>
      </c>
      <c r="H226">
        <v>9</v>
      </c>
      <c r="I226">
        <v>10940</v>
      </c>
      <c r="J226">
        <v>30</v>
      </c>
      <c r="K226">
        <v>68922</v>
      </c>
      <c r="L226" t="s">
        <v>92</v>
      </c>
      <c r="M226" s="2">
        <f>Table1[[#This Row],[Revenue_INR]]-Table1[[#This Row],[Price_INR]]</f>
        <v>57982</v>
      </c>
      <c r="N226">
        <f>YEAR(Table1[[#This Row],[Date]])</f>
        <v>2024</v>
      </c>
      <c r="O226" s="2">
        <f t="shared" si="12"/>
        <v>7658</v>
      </c>
      <c r="P226" s="7">
        <f t="shared" si="13"/>
        <v>84.126984126984127</v>
      </c>
      <c r="Q226" s="2">
        <f t="shared" si="14"/>
        <v>29538</v>
      </c>
      <c r="R226" s="5" t="str">
        <f t="shared" si="15"/>
        <v>Above Average</v>
      </c>
      <c r="S226" s="5" t="str">
        <f>Table1[[#This Row],[Quarter]]&amp;" - "&amp;Table1[[#This Row],[City]]</f>
        <v>Q1 - Kolkata</v>
      </c>
    </row>
    <row r="227" spans="1:19" x14ac:dyDescent="0.3">
      <c r="A227" t="s">
        <v>287</v>
      </c>
      <c r="B227" s="1">
        <v>45373</v>
      </c>
      <c r="C227" t="s">
        <v>223</v>
      </c>
      <c r="D227" t="s">
        <v>14</v>
      </c>
      <c r="E227" t="s">
        <v>15</v>
      </c>
      <c r="F227" t="s">
        <v>60</v>
      </c>
      <c r="G227" t="s">
        <v>61</v>
      </c>
      <c r="H227">
        <v>3</v>
      </c>
      <c r="I227">
        <v>2240</v>
      </c>
      <c r="J227">
        <v>25</v>
      </c>
      <c r="K227">
        <v>5040</v>
      </c>
      <c r="L227" t="s">
        <v>18</v>
      </c>
      <c r="M227" s="2">
        <f>Table1[[#This Row],[Revenue_INR]]-Table1[[#This Row],[Price_INR]]</f>
        <v>2800</v>
      </c>
      <c r="N227">
        <f>YEAR(Table1[[#This Row],[Date]])</f>
        <v>2024</v>
      </c>
      <c r="O227" s="2">
        <f t="shared" si="12"/>
        <v>1680</v>
      </c>
      <c r="P227" s="7">
        <f t="shared" si="13"/>
        <v>55.555555555555557</v>
      </c>
      <c r="Q227" s="2">
        <f t="shared" si="14"/>
        <v>1680</v>
      </c>
      <c r="R227" s="5" t="str">
        <f t="shared" si="15"/>
        <v>Below Average</v>
      </c>
      <c r="S227" s="5" t="str">
        <f>Table1[[#This Row],[Quarter]]&amp;" - "&amp;Table1[[#This Row],[City]]</f>
        <v>Q1 - Kolkata</v>
      </c>
    </row>
    <row r="228" spans="1:19" x14ac:dyDescent="0.3">
      <c r="A228" t="s">
        <v>288</v>
      </c>
      <c r="B228" s="1">
        <v>45374</v>
      </c>
      <c r="C228" t="s">
        <v>223</v>
      </c>
      <c r="D228" t="s">
        <v>14</v>
      </c>
      <c r="E228" t="s">
        <v>34</v>
      </c>
      <c r="F228" t="s">
        <v>47</v>
      </c>
      <c r="G228" t="s">
        <v>102</v>
      </c>
      <c r="H228">
        <v>2</v>
      </c>
      <c r="I228">
        <v>7940</v>
      </c>
      <c r="J228">
        <v>0</v>
      </c>
      <c r="K228">
        <v>15880</v>
      </c>
      <c r="L228" t="s">
        <v>49</v>
      </c>
      <c r="M228" s="2">
        <f>Table1[[#This Row],[Revenue_INR]]-Table1[[#This Row],[Price_INR]]</f>
        <v>7940</v>
      </c>
      <c r="N228">
        <f>YEAR(Table1[[#This Row],[Date]])</f>
        <v>2024</v>
      </c>
      <c r="O228" s="2">
        <f t="shared" si="12"/>
        <v>7940</v>
      </c>
      <c r="P228" s="7">
        <f t="shared" si="13"/>
        <v>50</v>
      </c>
      <c r="Q228" s="2">
        <f t="shared" si="14"/>
        <v>0</v>
      </c>
      <c r="R228" s="5" t="str">
        <f t="shared" si="15"/>
        <v>Below Average</v>
      </c>
      <c r="S228" s="5" t="str">
        <f>Table1[[#This Row],[Quarter]]&amp;" - "&amp;Table1[[#This Row],[City]]</f>
        <v>Q1 - Delhi</v>
      </c>
    </row>
    <row r="229" spans="1:19" x14ac:dyDescent="0.3">
      <c r="A229" t="s">
        <v>289</v>
      </c>
      <c r="B229" s="1">
        <v>45374</v>
      </c>
      <c r="C229" t="s">
        <v>223</v>
      </c>
      <c r="D229" t="s">
        <v>14</v>
      </c>
      <c r="E229" t="s">
        <v>34</v>
      </c>
      <c r="F229" t="s">
        <v>31</v>
      </c>
      <c r="G229" t="s">
        <v>131</v>
      </c>
      <c r="H229">
        <v>3</v>
      </c>
      <c r="I229">
        <v>1370</v>
      </c>
      <c r="J229">
        <v>15</v>
      </c>
      <c r="K229">
        <v>3493.5</v>
      </c>
      <c r="L229" t="s">
        <v>36</v>
      </c>
      <c r="M229" s="2">
        <f>Table1[[#This Row],[Revenue_INR]]-Table1[[#This Row],[Price_INR]]</f>
        <v>2123.5</v>
      </c>
      <c r="N229">
        <f>YEAR(Table1[[#This Row],[Date]])</f>
        <v>2024</v>
      </c>
      <c r="O229" s="2">
        <f t="shared" si="12"/>
        <v>1164.5</v>
      </c>
      <c r="P229" s="7">
        <f t="shared" si="13"/>
        <v>60.784313725490193</v>
      </c>
      <c r="Q229" s="2">
        <f t="shared" si="14"/>
        <v>616.5</v>
      </c>
      <c r="R229" s="5" t="str">
        <f t="shared" si="15"/>
        <v>Below Average</v>
      </c>
      <c r="S229" s="5" t="str">
        <f>Table1[[#This Row],[Quarter]]&amp;" - "&amp;Table1[[#This Row],[City]]</f>
        <v>Q1 - Delhi</v>
      </c>
    </row>
    <row r="230" spans="1:19" x14ac:dyDescent="0.3">
      <c r="A230" t="s">
        <v>290</v>
      </c>
      <c r="B230" s="1">
        <v>45374</v>
      </c>
      <c r="C230" t="s">
        <v>223</v>
      </c>
      <c r="D230" t="s">
        <v>14</v>
      </c>
      <c r="E230" t="s">
        <v>15</v>
      </c>
      <c r="F230" t="s">
        <v>31</v>
      </c>
      <c r="G230" t="s">
        <v>35</v>
      </c>
      <c r="H230">
        <v>11</v>
      </c>
      <c r="I230">
        <v>2670</v>
      </c>
      <c r="J230">
        <v>0</v>
      </c>
      <c r="K230">
        <v>29370</v>
      </c>
      <c r="L230" t="s">
        <v>53</v>
      </c>
      <c r="M230" s="2">
        <f>Table1[[#This Row],[Revenue_INR]]-Table1[[#This Row],[Price_INR]]</f>
        <v>26700</v>
      </c>
      <c r="N230">
        <f>YEAR(Table1[[#This Row],[Date]])</f>
        <v>2024</v>
      </c>
      <c r="O230" s="2">
        <f t="shared" si="12"/>
        <v>2670</v>
      </c>
      <c r="P230" s="7">
        <f t="shared" si="13"/>
        <v>90.909090909090907</v>
      </c>
      <c r="Q230" s="2">
        <f t="shared" si="14"/>
        <v>0</v>
      </c>
      <c r="R230" s="5" t="str">
        <f t="shared" si="15"/>
        <v>Above Average</v>
      </c>
      <c r="S230" s="5" t="str">
        <f>Table1[[#This Row],[Quarter]]&amp;" - "&amp;Table1[[#This Row],[City]]</f>
        <v>Q1 - Kolkata</v>
      </c>
    </row>
    <row r="231" spans="1:19" x14ac:dyDescent="0.3">
      <c r="A231" t="s">
        <v>291</v>
      </c>
      <c r="B231" s="1">
        <v>45375</v>
      </c>
      <c r="C231" t="s">
        <v>223</v>
      </c>
      <c r="D231" t="s">
        <v>14</v>
      </c>
      <c r="E231" t="s">
        <v>25</v>
      </c>
      <c r="F231" t="s">
        <v>60</v>
      </c>
      <c r="G231" t="s">
        <v>61</v>
      </c>
      <c r="H231">
        <v>12</v>
      </c>
      <c r="I231">
        <v>1940</v>
      </c>
      <c r="J231">
        <v>0</v>
      </c>
      <c r="K231">
        <v>23280</v>
      </c>
      <c r="L231" t="s">
        <v>28</v>
      </c>
      <c r="M231" s="2">
        <f>Table1[[#This Row],[Revenue_INR]]-Table1[[#This Row],[Price_INR]]</f>
        <v>21340</v>
      </c>
      <c r="N231">
        <f>YEAR(Table1[[#This Row],[Date]])</f>
        <v>2024</v>
      </c>
      <c r="O231" s="2">
        <f t="shared" si="12"/>
        <v>1940</v>
      </c>
      <c r="P231" s="7">
        <f t="shared" si="13"/>
        <v>91.666666666666657</v>
      </c>
      <c r="Q231" s="2">
        <f t="shared" si="14"/>
        <v>0</v>
      </c>
      <c r="R231" s="5" t="str">
        <f t="shared" si="15"/>
        <v>Below Average</v>
      </c>
      <c r="S231" s="5" t="str">
        <f>Table1[[#This Row],[Quarter]]&amp;" - "&amp;Table1[[#This Row],[City]]</f>
        <v>Q1 - Hyderabad</v>
      </c>
    </row>
    <row r="232" spans="1:19" x14ac:dyDescent="0.3">
      <c r="A232" t="s">
        <v>292</v>
      </c>
      <c r="B232" s="1">
        <v>45377</v>
      </c>
      <c r="C232" t="s">
        <v>223</v>
      </c>
      <c r="D232" t="s">
        <v>14</v>
      </c>
      <c r="E232" t="s">
        <v>34</v>
      </c>
      <c r="F232" t="s">
        <v>16</v>
      </c>
      <c r="G232" t="s">
        <v>44</v>
      </c>
      <c r="H232">
        <v>2</v>
      </c>
      <c r="I232">
        <v>1160</v>
      </c>
      <c r="J232">
        <v>0</v>
      </c>
      <c r="K232">
        <v>2320</v>
      </c>
      <c r="L232" t="s">
        <v>36</v>
      </c>
      <c r="M232" s="2">
        <f>Table1[[#This Row],[Revenue_INR]]-Table1[[#This Row],[Price_INR]]</f>
        <v>1160</v>
      </c>
      <c r="N232">
        <f>YEAR(Table1[[#This Row],[Date]])</f>
        <v>2024</v>
      </c>
      <c r="O232" s="2">
        <f t="shared" si="12"/>
        <v>1160</v>
      </c>
      <c r="P232" s="7">
        <f t="shared" si="13"/>
        <v>50</v>
      </c>
      <c r="Q232" s="2">
        <f t="shared" si="14"/>
        <v>0</v>
      </c>
      <c r="R232" s="5" t="str">
        <f t="shared" si="15"/>
        <v>Below Average</v>
      </c>
      <c r="S232" s="5" t="str">
        <f>Table1[[#This Row],[Quarter]]&amp;" - "&amp;Table1[[#This Row],[City]]</f>
        <v>Q1 - Delhi</v>
      </c>
    </row>
    <row r="233" spans="1:19" x14ac:dyDescent="0.3">
      <c r="A233" t="s">
        <v>293</v>
      </c>
      <c r="B233" s="1">
        <v>45377</v>
      </c>
      <c r="C233" t="s">
        <v>223</v>
      </c>
      <c r="D233" t="s">
        <v>14</v>
      </c>
      <c r="E233" t="s">
        <v>25</v>
      </c>
      <c r="F233" t="s">
        <v>60</v>
      </c>
      <c r="G233" t="s">
        <v>85</v>
      </c>
      <c r="H233">
        <v>6</v>
      </c>
      <c r="I233">
        <v>1800</v>
      </c>
      <c r="J233">
        <v>0</v>
      </c>
      <c r="K233">
        <v>10800</v>
      </c>
      <c r="L233" t="s">
        <v>28</v>
      </c>
      <c r="M233" s="2">
        <f>Table1[[#This Row],[Revenue_INR]]-Table1[[#This Row],[Price_INR]]</f>
        <v>9000</v>
      </c>
      <c r="N233">
        <f>YEAR(Table1[[#This Row],[Date]])</f>
        <v>2024</v>
      </c>
      <c r="O233" s="2">
        <f t="shared" si="12"/>
        <v>1800</v>
      </c>
      <c r="P233" s="7">
        <f t="shared" si="13"/>
        <v>83.333333333333343</v>
      </c>
      <c r="Q233" s="2">
        <f t="shared" si="14"/>
        <v>0</v>
      </c>
      <c r="R233" s="5" t="str">
        <f t="shared" si="15"/>
        <v>Below Average</v>
      </c>
      <c r="S233" s="5" t="str">
        <f>Table1[[#This Row],[Quarter]]&amp;" - "&amp;Table1[[#This Row],[City]]</f>
        <v>Q1 - Hyderabad</v>
      </c>
    </row>
    <row r="234" spans="1:19" x14ac:dyDescent="0.3">
      <c r="A234" t="s">
        <v>294</v>
      </c>
      <c r="B234" s="1">
        <v>45377</v>
      </c>
      <c r="C234" t="s">
        <v>223</v>
      </c>
      <c r="D234" t="s">
        <v>14</v>
      </c>
      <c r="E234" t="s">
        <v>15</v>
      </c>
      <c r="F234" t="s">
        <v>16</v>
      </c>
      <c r="G234" t="s">
        <v>41</v>
      </c>
      <c r="H234">
        <v>11</v>
      </c>
      <c r="I234">
        <v>2460</v>
      </c>
      <c r="J234">
        <v>30</v>
      </c>
      <c r="K234">
        <v>18942</v>
      </c>
      <c r="L234" t="s">
        <v>92</v>
      </c>
      <c r="M234" s="2">
        <f>Table1[[#This Row],[Revenue_INR]]-Table1[[#This Row],[Price_INR]]</f>
        <v>16482</v>
      </c>
      <c r="N234">
        <f>YEAR(Table1[[#This Row],[Date]])</f>
        <v>2024</v>
      </c>
      <c r="O234" s="2">
        <f t="shared" si="12"/>
        <v>1722</v>
      </c>
      <c r="P234" s="7">
        <f t="shared" si="13"/>
        <v>87.012987012987011</v>
      </c>
      <c r="Q234" s="2">
        <f t="shared" si="14"/>
        <v>8118</v>
      </c>
      <c r="R234" s="5" t="str">
        <f t="shared" si="15"/>
        <v>Below Average</v>
      </c>
      <c r="S234" s="5" t="str">
        <f>Table1[[#This Row],[Quarter]]&amp;" - "&amp;Table1[[#This Row],[City]]</f>
        <v>Q1 - Kolkata</v>
      </c>
    </row>
    <row r="235" spans="1:19" x14ac:dyDescent="0.3">
      <c r="A235" t="s">
        <v>295</v>
      </c>
      <c r="B235" s="1">
        <v>45377</v>
      </c>
      <c r="C235" t="s">
        <v>223</v>
      </c>
      <c r="D235" t="s">
        <v>14</v>
      </c>
      <c r="E235" t="s">
        <v>15</v>
      </c>
      <c r="F235" t="s">
        <v>26</v>
      </c>
      <c r="G235" t="s">
        <v>27</v>
      </c>
      <c r="H235">
        <v>3</v>
      </c>
      <c r="I235">
        <v>6830</v>
      </c>
      <c r="J235">
        <v>30</v>
      </c>
      <c r="K235">
        <v>14343</v>
      </c>
      <c r="L235" t="s">
        <v>18</v>
      </c>
      <c r="M235" s="2">
        <f>Table1[[#This Row],[Revenue_INR]]-Table1[[#This Row],[Price_INR]]</f>
        <v>7513</v>
      </c>
      <c r="N235">
        <f>YEAR(Table1[[#This Row],[Date]])</f>
        <v>2024</v>
      </c>
      <c r="O235" s="2">
        <f t="shared" si="12"/>
        <v>4781</v>
      </c>
      <c r="P235" s="7">
        <f t="shared" si="13"/>
        <v>52.380952380952387</v>
      </c>
      <c r="Q235" s="2">
        <f t="shared" si="14"/>
        <v>6147</v>
      </c>
      <c r="R235" s="5" t="str">
        <f t="shared" si="15"/>
        <v>Below Average</v>
      </c>
      <c r="S235" s="5" t="str">
        <f>Table1[[#This Row],[Quarter]]&amp;" - "&amp;Table1[[#This Row],[City]]</f>
        <v>Q1 - Kolkata</v>
      </c>
    </row>
    <row r="236" spans="1:19" x14ac:dyDescent="0.3">
      <c r="A236" t="s">
        <v>296</v>
      </c>
      <c r="B236" s="1">
        <v>45377</v>
      </c>
      <c r="C236" t="s">
        <v>223</v>
      </c>
      <c r="D236" t="s">
        <v>14</v>
      </c>
      <c r="E236" t="s">
        <v>34</v>
      </c>
      <c r="F236" t="s">
        <v>16</v>
      </c>
      <c r="G236" t="s">
        <v>41</v>
      </c>
      <c r="H236">
        <v>7</v>
      </c>
      <c r="I236">
        <v>2200</v>
      </c>
      <c r="J236">
        <v>0</v>
      </c>
      <c r="K236">
        <v>15400</v>
      </c>
      <c r="L236" t="s">
        <v>45</v>
      </c>
      <c r="M236" s="2">
        <f>Table1[[#This Row],[Revenue_INR]]-Table1[[#This Row],[Price_INR]]</f>
        <v>13200</v>
      </c>
      <c r="N236">
        <f>YEAR(Table1[[#This Row],[Date]])</f>
        <v>2024</v>
      </c>
      <c r="O236" s="2">
        <f t="shared" si="12"/>
        <v>2200</v>
      </c>
      <c r="P236" s="7">
        <f t="shared" si="13"/>
        <v>85.714285714285708</v>
      </c>
      <c r="Q236" s="2">
        <f t="shared" si="14"/>
        <v>0</v>
      </c>
      <c r="R236" s="5" t="str">
        <f t="shared" si="15"/>
        <v>Below Average</v>
      </c>
      <c r="S236" s="5" t="str">
        <f>Table1[[#This Row],[Quarter]]&amp;" - "&amp;Table1[[#This Row],[City]]</f>
        <v>Q1 - Delhi</v>
      </c>
    </row>
    <row r="237" spans="1:19" x14ac:dyDescent="0.3">
      <c r="A237" t="s">
        <v>297</v>
      </c>
      <c r="B237" s="1">
        <v>45378</v>
      </c>
      <c r="C237" t="s">
        <v>223</v>
      </c>
      <c r="D237" t="s">
        <v>14</v>
      </c>
      <c r="E237" t="s">
        <v>20</v>
      </c>
      <c r="F237" t="s">
        <v>47</v>
      </c>
      <c r="G237" t="s">
        <v>48</v>
      </c>
      <c r="H237">
        <v>4</v>
      </c>
      <c r="I237">
        <v>7220</v>
      </c>
      <c r="J237">
        <v>10</v>
      </c>
      <c r="K237">
        <v>25992</v>
      </c>
      <c r="L237" t="s">
        <v>39</v>
      </c>
      <c r="M237" s="2">
        <f>Table1[[#This Row],[Revenue_INR]]-Table1[[#This Row],[Price_INR]]</f>
        <v>18772</v>
      </c>
      <c r="N237">
        <f>YEAR(Table1[[#This Row],[Date]])</f>
        <v>2024</v>
      </c>
      <c r="O237" s="2">
        <f t="shared" si="12"/>
        <v>6498</v>
      </c>
      <c r="P237" s="7">
        <f t="shared" si="13"/>
        <v>72.222222222222214</v>
      </c>
      <c r="Q237" s="2">
        <f t="shared" si="14"/>
        <v>2888</v>
      </c>
      <c r="R237" s="5" t="str">
        <f t="shared" si="15"/>
        <v>Above Average</v>
      </c>
      <c r="S237" s="5" t="str">
        <f>Table1[[#This Row],[Quarter]]&amp;" - "&amp;Table1[[#This Row],[City]]</f>
        <v>Q1 - Mumbai</v>
      </c>
    </row>
    <row r="238" spans="1:19" x14ac:dyDescent="0.3">
      <c r="A238" t="s">
        <v>298</v>
      </c>
      <c r="B238" s="1">
        <v>45379</v>
      </c>
      <c r="C238" t="s">
        <v>223</v>
      </c>
      <c r="D238" t="s">
        <v>14</v>
      </c>
      <c r="E238" t="s">
        <v>15</v>
      </c>
      <c r="F238" t="s">
        <v>16</v>
      </c>
      <c r="G238" t="s">
        <v>44</v>
      </c>
      <c r="H238">
        <v>7</v>
      </c>
      <c r="I238">
        <v>1320</v>
      </c>
      <c r="J238">
        <v>0</v>
      </c>
      <c r="K238">
        <v>9240</v>
      </c>
      <c r="L238" t="s">
        <v>53</v>
      </c>
      <c r="M238" s="2">
        <f>Table1[[#This Row],[Revenue_INR]]-Table1[[#This Row],[Price_INR]]</f>
        <v>7920</v>
      </c>
      <c r="N238">
        <f>YEAR(Table1[[#This Row],[Date]])</f>
        <v>2024</v>
      </c>
      <c r="O238" s="2">
        <f t="shared" si="12"/>
        <v>1320</v>
      </c>
      <c r="P238" s="7">
        <f t="shared" si="13"/>
        <v>85.714285714285708</v>
      </c>
      <c r="Q238" s="2">
        <f t="shared" si="14"/>
        <v>0</v>
      </c>
      <c r="R238" s="5" t="str">
        <f t="shared" si="15"/>
        <v>Below Average</v>
      </c>
      <c r="S238" s="5" t="str">
        <f>Table1[[#This Row],[Quarter]]&amp;" - "&amp;Table1[[#This Row],[City]]</f>
        <v>Q1 - Kolkata</v>
      </c>
    </row>
    <row r="239" spans="1:19" x14ac:dyDescent="0.3">
      <c r="A239" t="s">
        <v>299</v>
      </c>
      <c r="B239" s="1">
        <v>45380</v>
      </c>
      <c r="C239" t="s">
        <v>223</v>
      </c>
      <c r="D239" t="s">
        <v>14</v>
      </c>
      <c r="E239" t="s">
        <v>25</v>
      </c>
      <c r="F239" t="s">
        <v>16</v>
      </c>
      <c r="G239" t="s">
        <v>69</v>
      </c>
      <c r="H239">
        <v>13</v>
      </c>
      <c r="I239">
        <v>2250</v>
      </c>
      <c r="J239">
        <v>15</v>
      </c>
      <c r="K239">
        <v>24862.5</v>
      </c>
      <c r="L239" t="s">
        <v>28</v>
      </c>
      <c r="M239" s="2">
        <f>Table1[[#This Row],[Revenue_INR]]-Table1[[#This Row],[Price_INR]]</f>
        <v>22612.5</v>
      </c>
      <c r="N239">
        <f>YEAR(Table1[[#This Row],[Date]])</f>
        <v>2024</v>
      </c>
      <c r="O239" s="2">
        <f t="shared" si="12"/>
        <v>1912.5</v>
      </c>
      <c r="P239" s="7">
        <f t="shared" si="13"/>
        <v>90.950226244343895</v>
      </c>
      <c r="Q239" s="2">
        <f t="shared" si="14"/>
        <v>4387.5</v>
      </c>
      <c r="R239" s="5" t="str">
        <f t="shared" si="15"/>
        <v>Above Average</v>
      </c>
      <c r="S239" s="5" t="str">
        <f>Table1[[#This Row],[Quarter]]&amp;" - "&amp;Table1[[#This Row],[City]]</f>
        <v>Q1 - Hyderabad</v>
      </c>
    </row>
    <row r="240" spans="1:19" x14ac:dyDescent="0.3">
      <c r="A240" t="s">
        <v>300</v>
      </c>
      <c r="B240" s="1">
        <v>45380</v>
      </c>
      <c r="C240" t="s">
        <v>223</v>
      </c>
      <c r="D240" t="s">
        <v>14</v>
      </c>
      <c r="E240" t="s">
        <v>34</v>
      </c>
      <c r="F240" t="s">
        <v>47</v>
      </c>
      <c r="G240" t="s">
        <v>102</v>
      </c>
      <c r="H240">
        <v>8</v>
      </c>
      <c r="I240">
        <v>6000</v>
      </c>
      <c r="J240">
        <v>0</v>
      </c>
      <c r="K240">
        <v>48000</v>
      </c>
      <c r="L240" t="s">
        <v>49</v>
      </c>
      <c r="M240" s="2">
        <f>Table1[[#This Row],[Revenue_INR]]-Table1[[#This Row],[Price_INR]]</f>
        <v>42000</v>
      </c>
      <c r="N240">
        <f>YEAR(Table1[[#This Row],[Date]])</f>
        <v>2024</v>
      </c>
      <c r="O240" s="2">
        <f t="shared" si="12"/>
        <v>6000</v>
      </c>
      <c r="P240" s="7">
        <f t="shared" si="13"/>
        <v>87.5</v>
      </c>
      <c r="Q240" s="2">
        <f t="shared" si="14"/>
        <v>0</v>
      </c>
      <c r="R240" s="5" t="str">
        <f t="shared" si="15"/>
        <v>Above Average</v>
      </c>
      <c r="S240" s="5" t="str">
        <f>Table1[[#This Row],[Quarter]]&amp;" - "&amp;Table1[[#This Row],[City]]</f>
        <v>Q1 - Delhi</v>
      </c>
    </row>
    <row r="241" spans="1:19" x14ac:dyDescent="0.3">
      <c r="A241" t="s">
        <v>301</v>
      </c>
      <c r="B241" s="1">
        <v>45381</v>
      </c>
      <c r="C241" t="s">
        <v>223</v>
      </c>
      <c r="D241" t="s">
        <v>14</v>
      </c>
      <c r="E241" t="s">
        <v>25</v>
      </c>
      <c r="F241" t="s">
        <v>47</v>
      </c>
      <c r="G241" t="s">
        <v>48</v>
      </c>
      <c r="H241">
        <v>1</v>
      </c>
      <c r="I241">
        <v>3850</v>
      </c>
      <c r="J241">
        <v>0</v>
      </c>
      <c r="K241">
        <v>3850</v>
      </c>
      <c r="L241" t="s">
        <v>42</v>
      </c>
      <c r="M241" s="2">
        <f>Table1[[#This Row],[Revenue_INR]]-Table1[[#This Row],[Price_INR]]</f>
        <v>0</v>
      </c>
      <c r="N241">
        <f>YEAR(Table1[[#This Row],[Date]])</f>
        <v>2024</v>
      </c>
      <c r="O241" s="2">
        <f t="shared" si="12"/>
        <v>3850</v>
      </c>
      <c r="P241" s="7">
        <f t="shared" si="13"/>
        <v>0</v>
      </c>
      <c r="Q241" s="2">
        <f t="shared" si="14"/>
        <v>0</v>
      </c>
      <c r="R241" s="5" t="str">
        <f t="shared" si="15"/>
        <v>Below Average</v>
      </c>
      <c r="S241" s="5" t="str">
        <f>Table1[[#This Row],[Quarter]]&amp;" - "&amp;Table1[[#This Row],[City]]</f>
        <v>Q1 - Hyderabad</v>
      </c>
    </row>
    <row r="242" spans="1:19" x14ac:dyDescent="0.3">
      <c r="A242" t="s">
        <v>302</v>
      </c>
      <c r="B242" s="1">
        <v>45381</v>
      </c>
      <c r="C242" t="s">
        <v>223</v>
      </c>
      <c r="D242" t="s">
        <v>14</v>
      </c>
      <c r="E242" t="s">
        <v>20</v>
      </c>
      <c r="F242" t="s">
        <v>16</v>
      </c>
      <c r="G242" t="s">
        <v>17</v>
      </c>
      <c r="H242">
        <v>13</v>
      </c>
      <c r="I242">
        <v>1850</v>
      </c>
      <c r="J242">
        <v>30</v>
      </c>
      <c r="K242">
        <v>16835</v>
      </c>
      <c r="L242" t="s">
        <v>23</v>
      </c>
      <c r="M242" s="2">
        <f>Table1[[#This Row],[Revenue_INR]]-Table1[[#This Row],[Price_INR]]</f>
        <v>14985</v>
      </c>
      <c r="N242">
        <f>YEAR(Table1[[#This Row],[Date]])</f>
        <v>2024</v>
      </c>
      <c r="O242" s="2">
        <f t="shared" si="12"/>
        <v>1295</v>
      </c>
      <c r="P242" s="7">
        <f t="shared" si="13"/>
        <v>89.010989010989007</v>
      </c>
      <c r="Q242" s="2">
        <f t="shared" si="14"/>
        <v>7215</v>
      </c>
      <c r="R242" s="5" t="str">
        <f t="shared" si="15"/>
        <v>Below Average</v>
      </c>
      <c r="S242" s="5" t="str">
        <f>Table1[[#This Row],[Quarter]]&amp;" - "&amp;Table1[[#This Row],[City]]</f>
        <v>Q1 - Mumbai</v>
      </c>
    </row>
    <row r="243" spans="1:19" x14ac:dyDescent="0.3">
      <c r="A243" t="s">
        <v>303</v>
      </c>
      <c r="B243" s="1">
        <v>45381</v>
      </c>
      <c r="C243" t="s">
        <v>223</v>
      </c>
      <c r="D243" t="s">
        <v>14</v>
      </c>
      <c r="E243" t="s">
        <v>34</v>
      </c>
      <c r="F243" t="s">
        <v>31</v>
      </c>
      <c r="G243" t="s">
        <v>35</v>
      </c>
      <c r="H243">
        <v>10</v>
      </c>
      <c r="I243">
        <v>4620</v>
      </c>
      <c r="J243">
        <v>0</v>
      </c>
      <c r="K243">
        <v>46200</v>
      </c>
      <c r="L243" t="s">
        <v>45</v>
      </c>
      <c r="M243" s="2">
        <f>Table1[[#This Row],[Revenue_INR]]-Table1[[#This Row],[Price_INR]]</f>
        <v>41580</v>
      </c>
      <c r="N243">
        <f>YEAR(Table1[[#This Row],[Date]])</f>
        <v>2024</v>
      </c>
      <c r="O243" s="2">
        <f t="shared" si="12"/>
        <v>4620</v>
      </c>
      <c r="P243" s="7">
        <f t="shared" si="13"/>
        <v>90</v>
      </c>
      <c r="Q243" s="2">
        <f t="shared" si="14"/>
        <v>0</v>
      </c>
      <c r="R243" s="5" t="str">
        <f t="shared" si="15"/>
        <v>Above Average</v>
      </c>
      <c r="S243" s="5" t="str">
        <f>Table1[[#This Row],[Quarter]]&amp;" - "&amp;Table1[[#This Row],[City]]</f>
        <v>Q1 - Delhi</v>
      </c>
    </row>
    <row r="244" spans="1:19" x14ac:dyDescent="0.3">
      <c r="A244" t="s">
        <v>304</v>
      </c>
      <c r="B244" s="1">
        <v>45381</v>
      </c>
      <c r="C244" t="s">
        <v>223</v>
      </c>
      <c r="D244" t="s">
        <v>14</v>
      </c>
      <c r="E244" t="s">
        <v>25</v>
      </c>
      <c r="F244" t="s">
        <v>26</v>
      </c>
      <c r="G244" t="s">
        <v>82</v>
      </c>
      <c r="H244">
        <v>6</v>
      </c>
      <c r="I244">
        <v>9080</v>
      </c>
      <c r="J244">
        <v>30</v>
      </c>
      <c r="K244">
        <v>38136</v>
      </c>
      <c r="L244" t="s">
        <v>28</v>
      </c>
      <c r="M244" s="2">
        <f>Table1[[#This Row],[Revenue_INR]]-Table1[[#This Row],[Price_INR]]</f>
        <v>29056</v>
      </c>
      <c r="N244">
        <f>YEAR(Table1[[#This Row],[Date]])</f>
        <v>2024</v>
      </c>
      <c r="O244" s="2">
        <f t="shared" si="12"/>
        <v>6356</v>
      </c>
      <c r="P244" s="7">
        <f t="shared" si="13"/>
        <v>76.19047619047619</v>
      </c>
      <c r="Q244" s="2">
        <f t="shared" si="14"/>
        <v>16344</v>
      </c>
      <c r="R244" s="5" t="str">
        <f t="shared" si="15"/>
        <v>Above Average</v>
      </c>
      <c r="S244" s="5" t="str">
        <f>Table1[[#This Row],[Quarter]]&amp;" - "&amp;Table1[[#This Row],[City]]</f>
        <v>Q1 - Hyderabad</v>
      </c>
    </row>
    <row r="245" spans="1:19" x14ac:dyDescent="0.3">
      <c r="A245" t="s">
        <v>305</v>
      </c>
      <c r="B245" s="1">
        <v>45382</v>
      </c>
      <c r="C245" t="s">
        <v>223</v>
      </c>
      <c r="D245" t="s">
        <v>14</v>
      </c>
      <c r="E245" t="s">
        <v>20</v>
      </c>
      <c r="F245" t="s">
        <v>26</v>
      </c>
      <c r="G245" t="s">
        <v>58</v>
      </c>
      <c r="H245">
        <v>8</v>
      </c>
      <c r="I245">
        <v>11150</v>
      </c>
      <c r="J245">
        <v>20</v>
      </c>
      <c r="K245">
        <v>71360</v>
      </c>
      <c r="L245" t="s">
        <v>77</v>
      </c>
      <c r="M245" s="2">
        <f>Table1[[#This Row],[Revenue_INR]]-Table1[[#This Row],[Price_INR]]</f>
        <v>60210</v>
      </c>
      <c r="N245">
        <f>YEAR(Table1[[#This Row],[Date]])</f>
        <v>2024</v>
      </c>
      <c r="O245" s="2">
        <f t="shared" si="12"/>
        <v>8920</v>
      </c>
      <c r="P245" s="7">
        <f t="shared" si="13"/>
        <v>84.375</v>
      </c>
      <c r="Q245" s="2">
        <f t="shared" si="14"/>
        <v>17840</v>
      </c>
      <c r="R245" s="5" t="str">
        <f t="shared" si="15"/>
        <v>Above Average</v>
      </c>
      <c r="S245" s="5" t="str">
        <f>Table1[[#This Row],[Quarter]]&amp;" - "&amp;Table1[[#This Row],[City]]</f>
        <v>Q1 - Mumbai</v>
      </c>
    </row>
    <row r="246" spans="1:19" x14ac:dyDescent="0.3">
      <c r="A246" t="s">
        <v>306</v>
      </c>
      <c r="B246" s="1">
        <v>45382</v>
      </c>
      <c r="C246" t="s">
        <v>223</v>
      </c>
      <c r="D246" t="s">
        <v>14</v>
      </c>
      <c r="E246" t="s">
        <v>25</v>
      </c>
      <c r="F246" t="s">
        <v>26</v>
      </c>
      <c r="G246" t="s">
        <v>80</v>
      </c>
      <c r="H246">
        <v>3</v>
      </c>
      <c r="I246">
        <v>12000</v>
      </c>
      <c r="J246">
        <v>15</v>
      </c>
      <c r="K246">
        <v>30600</v>
      </c>
      <c r="L246" t="s">
        <v>42</v>
      </c>
      <c r="M246" s="2">
        <f>Table1[[#This Row],[Revenue_INR]]-Table1[[#This Row],[Price_INR]]</f>
        <v>18600</v>
      </c>
      <c r="N246">
        <f>YEAR(Table1[[#This Row],[Date]])</f>
        <v>2024</v>
      </c>
      <c r="O246" s="2">
        <f t="shared" si="12"/>
        <v>10200</v>
      </c>
      <c r="P246" s="7">
        <f t="shared" si="13"/>
        <v>60.784313725490193</v>
      </c>
      <c r="Q246" s="2">
        <f t="shared" si="14"/>
        <v>5400</v>
      </c>
      <c r="R246" s="5" t="str">
        <f t="shared" si="15"/>
        <v>Above Average</v>
      </c>
      <c r="S246" s="5" t="str">
        <f>Table1[[#This Row],[Quarter]]&amp;" - "&amp;Table1[[#This Row],[City]]</f>
        <v>Q1 - Hyderabad</v>
      </c>
    </row>
    <row r="247" spans="1:19" x14ac:dyDescent="0.3">
      <c r="A247" t="s">
        <v>307</v>
      </c>
      <c r="B247" s="1">
        <v>45382</v>
      </c>
      <c r="C247" t="s">
        <v>223</v>
      </c>
      <c r="D247" t="s">
        <v>14</v>
      </c>
      <c r="E247" t="s">
        <v>34</v>
      </c>
      <c r="F247" t="s">
        <v>26</v>
      </c>
      <c r="G247" t="s">
        <v>58</v>
      </c>
      <c r="H247">
        <v>12</v>
      </c>
      <c r="I247">
        <v>3050</v>
      </c>
      <c r="J247">
        <v>20</v>
      </c>
      <c r="K247">
        <v>29280</v>
      </c>
      <c r="L247" t="s">
        <v>36</v>
      </c>
      <c r="M247" s="2">
        <f>Table1[[#This Row],[Revenue_INR]]-Table1[[#This Row],[Price_INR]]</f>
        <v>26230</v>
      </c>
      <c r="N247">
        <f>YEAR(Table1[[#This Row],[Date]])</f>
        <v>2024</v>
      </c>
      <c r="O247" s="2">
        <f t="shared" si="12"/>
        <v>2440</v>
      </c>
      <c r="P247" s="7">
        <f t="shared" si="13"/>
        <v>89.583333333333343</v>
      </c>
      <c r="Q247" s="2">
        <f t="shared" si="14"/>
        <v>7320</v>
      </c>
      <c r="R247" s="5" t="str">
        <f t="shared" si="15"/>
        <v>Above Average</v>
      </c>
      <c r="S247" s="5" t="str">
        <f>Table1[[#This Row],[Quarter]]&amp;" - "&amp;Table1[[#This Row],[City]]</f>
        <v>Q1 - Delhi</v>
      </c>
    </row>
    <row r="248" spans="1:19" x14ac:dyDescent="0.3">
      <c r="A248" t="s">
        <v>308</v>
      </c>
      <c r="B248" s="1">
        <v>45383</v>
      </c>
      <c r="C248" t="s">
        <v>309</v>
      </c>
      <c r="D248" t="s">
        <v>310</v>
      </c>
      <c r="E248" t="s">
        <v>20</v>
      </c>
      <c r="F248" t="s">
        <v>26</v>
      </c>
      <c r="G248" t="s">
        <v>27</v>
      </c>
      <c r="H248">
        <v>11</v>
      </c>
      <c r="I248">
        <v>2870</v>
      </c>
      <c r="J248">
        <v>0</v>
      </c>
      <c r="K248">
        <v>31570</v>
      </c>
      <c r="L248" t="s">
        <v>39</v>
      </c>
      <c r="M248" s="2">
        <f>Table1[[#This Row],[Revenue_INR]]-Table1[[#This Row],[Price_INR]]</f>
        <v>28700</v>
      </c>
      <c r="N248">
        <f>YEAR(Table1[[#This Row],[Date]])</f>
        <v>2024</v>
      </c>
      <c r="O248" s="2">
        <f t="shared" si="12"/>
        <v>2870</v>
      </c>
      <c r="P248" s="7">
        <f t="shared" si="13"/>
        <v>90.909090909090907</v>
      </c>
      <c r="Q248" s="2">
        <f t="shared" si="14"/>
        <v>0</v>
      </c>
      <c r="R248" s="5" t="str">
        <f t="shared" si="15"/>
        <v>Above Average</v>
      </c>
      <c r="S248" s="5" t="str">
        <f>Table1[[#This Row],[Quarter]]&amp;" - "&amp;Table1[[#This Row],[City]]</f>
        <v>Q2 - Mumbai</v>
      </c>
    </row>
    <row r="249" spans="1:19" x14ac:dyDescent="0.3">
      <c r="A249" t="s">
        <v>311</v>
      </c>
      <c r="B249" s="1">
        <v>45383</v>
      </c>
      <c r="C249" t="s">
        <v>309</v>
      </c>
      <c r="D249" t="s">
        <v>310</v>
      </c>
      <c r="E249" t="s">
        <v>15</v>
      </c>
      <c r="F249" t="s">
        <v>31</v>
      </c>
      <c r="G249" t="s">
        <v>131</v>
      </c>
      <c r="H249">
        <v>14</v>
      </c>
      <c r="I249">
        <v>2290</v>
      </c>
      <c r="J249">
        <v>10</v>
      </c>
      <c r="K249">
        <v>28854</v>
      </c>
      <c r="L249" t="s">
        <v>53</v>
      </c>
      <c r="M249" s="2">
        <f>Table1[[#This Row],[Revenue_INR]]-Table1[[#This Row],[Price_INR]]</f>
        <v>26564</v>
      </c>
      <c r="N249">
        <f>YEAR(Table1[[#This Row],[Date]])</f>
        <v>2024</v>
      </c>
      <c r="O249" s="2">
        <f t="shared" si="12"/>
        <v>2061</v>
      </c>
      <c r="P249" s="7">
        <f t="shared" si="13"/>
        <v>92.063492063492063</v>
      </c>
      <c r="Q249" s="2">
        <f t="shared" si="14"/>
        <v>3206</v>
      </c>
      <c r="R249" s="5" t="str">
        <f t="shared" si="15"/>
        <v>Above Average</v>
      </c>
      <c r="S249" s="5" t="str">
        <f>Table1[[#This Row],[Quarter]]&amp;" - "&amp;Table1[[#This Row],[City]]</f>
        <v>Q2 - Kolkata</v>
      </c>
    </row>
    <row r="250" spans="1:19" x14ac:dyDescent="0.3">
      <c r="A250" t="s">
        <v>312</v>
      </c>
      <c r="B250" s="1">
        <v>45384</v>
      </c>
      <c r="C250" t="s">
        <v>309</v>
      </c>
      <c r="D250" t="s">
        <v>310</v>
      </c>
      <c r="E250" t="s">
        <v>15</v>
      </c>
      <c r="F250" t="s">
        <v>16</v>
      </c>
      <c r="G250" t="s">
        <v>41</v>
      </c>
      <c r="H250">
        <v>9</v>
      </c>
      <c r="I250">
        <v>540</v>
      </c>
      <c r="J250">
        <v>0</v>
      </c>
      <c r="K250">
        <v>4860</v>
      </c>
      <c r="L250" t="s">
        <v>18</v>
      </c>
      <c r="M250" s="2">
        <f>Table1[[#This Row],[Revenue_INR]]-Table1[[#This Row],[Price_INR]]</f>
        <v>4320</v>
      </c>
      <c r="N250">
        <f>YEAR(Table1[[#This Row],[Date]])</f>
        <v>2024</v>
      </c>
      <c r="O250" s="2">
        <f t="shared" si="12"/>
        <v>540</v>
      </c>
      <c r="P250" s="7">
        <f t="shared" si="13"/>
        <v>88.888888888888886</v>
      </c>
      <c r="Q250" s="2">
        <f t="shared" si="14"/>
        <v>0</v>
      </c>
      <c r="R250" s="5" t="str">
        <f t="shared" si="15"/>
        <v>Below Average</v>
      </c>
      <c r="S250" s="5" t="str">
        <f>Table1[[#This Row],[Quarter]]&amp;" - "&amp;Table1[[#This Row],[City]]</f>
        <v>Q2 - Kolkata</v>
      </c>
    </row>
    <row r="251" spans="1:19" x14ac:dyDescent="0.3">
      <c r="A251" t="s">
        <v>313</v>
      </c>
      <c r="B251" s="1">
        <v>45384</v>
      </c>
      <c r="C251" t="s">
        <v>309</v>
      </c>
      <c r="D251" t="s">
        <v>310</v>
      </c>
      <c r="E251" t="s">
        <v>20</v>
      </c>
      <c r="F251" t="s">
        <v>16</v>
      </c>
      <c r="G251" t="s">
        <v>41</v>
      </c>
      <c r="H251">
        <v>10</v>
      </c>
      <c r="I251">
        <v>510</v>
      </c>
      <c r="J251">
        <v>30</v>
      </c>
      <c r="K251">
        <v>3570</v>
      </c>
      <c r="L251" t="s">
        <v>77</v>
      </c>
      <c r="M251" s="2">
        <f>Table1[[#This Row],[Revenue_INR]]-Table1[[#This Row],[Price_INR]]</f>
        <v>3060</v>
      </c>
      <c r="N251">
        <f>YEAR(Table1[[#This Row],[Date]])</f>
        <v>2024</v>
      </c>
      <c r="O251" s="2">
        <f t="shared" si="12"/>
        <v>357</v>
      </c>
      <c r="P251" s="7">
        <f t="shared" si="13"/>
        <v>85.714285714285708</v>
      </c>
      <c r="Q251" s="2">
        <f t="shared" si="14"/>
        <v>1530</v>
      </c>
      <c r="R251" s="5" t="str">
        <f t="shared" si="15"/>
        <v>Below Average</v>
      </c>
      <c r="S251" s="5" t="str">
        <f>Table1[[#This Row],[Quarter]]&amp;" - "&amp;Table1[[#This Row],[City]]</f>
        <v>Q2 - Mumbai</v>
      </c>
    </row>
    <row r="252" spans="1:19" x14ac:dyDescent="0.3">
      <c r="A252" t="s">
        <v>314</v>
      </c>
      <c r="B252" s="1">
        <v>45384</v>
      </c>
      <c r="C252" t="s">
        <v>309</v>
      </c>
      <c r="D252" t="s">
        <v>310</v>
      </c>
      <c r="E252" t="s">
        <v>15</v>
      </c>
      <c r="F252" t="s">
        <v>21</v>
      </c>
      <c r="G252" t="s">
        <v>22</v>
      </c>
      <c r="H252">
        <v>1</v>
      </c>
      <c r="I252">
        <v>2450</v>
      </c>
      <c r="J252">
        <v>20</v>
      </c>
      <c r="K252">
        <v>1960</v>
      </c>
      <c r="L252" t="s">
        <v>18</v>
      </c>
      <c r="M252" s="2">
        <f>Table1[[#This Row],[Revenue_INR]]-Table1[[#This Row],[Price_INR]]</f>
        <v>-490</v>
      </c>
      <c r="N252">
        <f>YEAR(Table1[[#This Row],[Date]])</f>
        <v>2024</v>
      </c>
      <c r="O252" s="2">
        <f t="shared" si="12"/>
        <v>1960</v>
      </c>
      <c r="P252" s="7">
        <f t="shared" si="13"/>
        <v>-25</v>
      </c>
      <c r="Q252" s="2">
        <f t="shared" si="14"/>
        <v>490</v>
      </c>
      <c r="R252" s="5" t="str">
        <f t="shared" si="15"/>
        <v>Below Average</v>
      </c>
      <c r="S252" s="5" t="str">
        <f>Table1[[#This Row],[Quarter]]&amp;" - "&amp;Table1[[#This Row],[City]]</f>
        <v>Q2 - Kolkata</v>
      </c>
    </row>
    <row r="253" spans="1:19" x14ac:dyDescent="0.3">
      <c r="A253" t="s">
        <v>315</v>
      </c>
      <c r="B253" s="1">
        <v>45385</v>
      </c>
      <c r="C253" t="s">
        <v>309</v>
      </c>
      <c r="D253" t="s">
        <v>310</v>
      </c>
      <c r="E253" t="s">
        <v>34</v>
      </c>
      <c r="F253" t="s">
        <v>31</v>
      </c>
      <c r="G253" t="s">
        <v>38</v>
      </c>
      <c r="H253">
        <v>14</v>
      </c>
      <c r="I253">
        <v>3060</v>
      </c>
      <c r="J253">
        <v>0</v>
      </c>
      <c r="K253">
        <v>42840</v>
      </c>
      <c r="L253" t="s">
        <v>45</v>
      </c>
      <c r="M253" s="2">
        <f>Table1[[#This Row],[Revenue_INR]]-Table1[[#This Row],[Price_INR]]</f>
        <v>39780</v>
      </c>
      <c r="N253">
        <f>YEAR(Table1[[#This Row],[Date]])</f>
        <v>2024</v>
      </c>
      <c r="O253" s="2">
        <f t="shared" si="12"/>
        <v>3060</v>
      </c>
      <c r="P253" s="7">
        <f t="shared" si="13"/>
        <v>92.857142857142861</v>
      </c>
      <c r="Q253" s="2">
        <f t="shared" si="14"/>
        <v>0</v>
      </c>
      <c r="R253" s="5" t="str">
        <f t="shared" si="15"/>
        <v>Above Average</v>
      </c>
      <c r="S253" s="5" t="str">
        <f>Table1[[#This Row],[Quarter]]&amp;" - "&amp;Table1[[#This Row],[City]]</f>
        <v>Q2 - Delhi</v>
      </c>
    </row>
    <row r="254" spans="1:19" x14ac:dyDescent="0.3">
      <c r="A254" t="s">
        <v>316</v>
      </c>
      <c r="B254" s="1">
        <v>45387</v>
      </c>
      <c r="C254" t="s">
        <v>309</v>
      </c>
      <c r="D254" t="s">
        <v>310</v>
      </c>
      <c r="E254" t="s">
        <v>15</v>
      </c>
      <c r="F254" t="s">
        <v>47</v>
      </c>
      <c r="G254" t="s">
        <v>51</v>
      </c>
      <c r="H254">
        <v>11</v>
      </c>
      <c r="I254">
        <v>7580</v>
      </c>
      <c r="J254">
        <v>5</v>
      </c>
      <c r="K254">
        <v>79211</v>
      </c>
      <c r="L254" t="s">
        <v>18</v>
      </c>
      <c r="M254" s="2">
        <f>Table1[[#This Row],[Revenue_INR]]-Table1[[#This Row],[Price_INR]]</f>
        <v>71631</v>
      </c>
      <c r="N254">
        <f>YEAR(Table1[[#This Row],[Date]])</f>
        <v>2024</v>
      </c>
      <c r="O254" s="2">
        <f t="shared" si="12"/>
        <v>7201</v>
      </c>
      <c r="P254" s="7">
        <f t="shared" si="13"/>
        <v>90.430622009569376</v>
      </c>
      <c r="Q254" s="2">
        <f t="shared" si="14"/>
        <v>4169</v>
      </c>
      <c r="R254" s="5" t="str">
        <f t="shared" si="15"/>
        <v>Above Average</v>
      </c>
      <c r="S254" s="5" t="str">
        <f>Table1[[#This Row],[Quarter]]&amp;" - "&amp;Table1[[#This Row],[City]]</f>
        <v>Q2 - Kolkata</v>
      </c>
    </row>
    <row r="255" spans="1:19" x14ac:dyDescent="0.3">
      <c r="A255" t="s">
        <v>317</v>
      </c>
      <c r="B255" s="1">
        <v>45387</v>
      </c>
      <c r="C255" t="s">
        <v>309</v>
      </c>
      <c r="D255" t="s">
        <v>310</v>
      </c>
      <c r="E255" t="s">
        <v>25</v>
      </c>
      <c r="F255" t="s">
        <v>31</v>
      </c>
      <c r="G255" t="s">
        <v>131</v>
      </c>
      <c r="H255">
        <v>9</v>
      </c>
      <c r="I255">
        <v>1760</v>
      </c>
      <c r="J255">
        <v>0</v>
      </c>
      <c r="K255">
        <v>15840</v>
      </c>
      <c r="L255" t="s">
        <v>42</v>
      </c>
      <c r="M255" s="2">
        <f>Table1[[#This Row],[Revenue_INR]]-Table1[[#This Row],[Price_INR]]</f>
        <v>14080</v>
      </c>
      <c r="N255">
        <f>YEAR(Table1[[#This Row],[Date]])</f>
        <v>2024</v>
      </c>
      <c r="O255" s="2">
        <f t="shared" si="12"/>
        <v>1760</v>
      </c>
      <c r="P255" s="7">
        <f t="shared" si="13"/>
        <v>88.888888888888886</v>
      </c>
      <c r="Q255" s="2">
        <f t="shared" si="14"/>
        <v>0</v>
      </c>
      <c r="R255" s="5" t="str">
        <f t="shared" si="15"/>
        <v>Below Average</v>
      </c>
      <c r="S255" s="5" t="str">
        <f>Table1[[#This Row],[Quarter]]&amp;" - "&amp;Table1[[#This Row],[City]]</f>
        <v>Q2 - Hyderabad</v>
      </c>
    </row>
    <row r="256" spans="1:19" x14ac:dyDescent="0.3">
      <c r="A256" t="s">
        <v>318</v>
      </c>
      <c r="B256" s="1">
        <v>45388</v>
      </c>
      <c r="C256" t="s">
        <v>309</v>
      </c>
      <c r="D256" t="s">
        <v>310</v>
      </c>
      <c r="E256" t="s">
        <v>15</v>
      </c>
      <c r="F256" t="s">
        <v>21</v>
      </c>
      <c r="G256" t="s">
        <v>22</v>
      </c>
      <c r="H256">
        <v>3</v>
      </c>
      <c r="I256">
        <v>2040</v>
      </c>
      <c r="J256">
        <v>10</v>
      </c>
      <c r="K256">
        <v>5508</v>
      </c>
      <c r="L256" t="s">
        <v>18</v>
      </c>
      <c r="M256" s="2">
        <f>Table1[[#This Row],[Revenue_INR]]-Table1[[#This Row],[Price_INR]]</f>
        <v>3468</v>
      </c>
      <c r="N256">
        <f>YEAR(Table1[[#This Row],[Date]])</f>
        <v>2024</v>
      </c>
      <c r="O256" s="2">
        <f t="shared" si="12"/>
        <v>1836</v>
      </c>
      <c r="P256" s="7">
        <f t="shared" si="13"/>
        <v>62.962962962962962</v>
      </c>
      <c r="Q256" s="2">
        <f t="shared" si="14"/>
        <v>612</v>
      </c>
      <c r="R256" s="5" t="str">
        <f t="shared" si="15"/>
        <v>Below Average</v>
      </c>
      <c r="S256" s="5" t="str">
        <f>Table1[[#This Row],[Quarter]]&amp;" - "&amp;Table1[[#This Row],[City]]</f>
        <v>Q2 - Kolkata</v>
      </c>
    </row>
    <row r="257" spans="1:19" x14ac:dyDescent="0.3">
      <c r="A257" t="s">
        <v>319</v>
      </c>
      <c r="B257" s="1">
        <v>45389</v>
      </c>
      <c r="C257" t="s">
        <v>309</v>
      </c>
      <c r="D257" t="s">
        <v>310</v>
      </c>
      <c r="E257" t="s">
        <v>15</v>
      </c>
      <c r="F257" t="s">
        <v>21</v>
      </c>
      <c r="G257" t="s">
        <v>22</v>
      </c>
      <c r="H257">
        <v>12</v>
      </c>
      <c r="I257">
        <v>880</v>
      </c>
      <c r="J257">
        <v>0</v>
      </c>
      <c r="K257">
        <v>10560</v>
      </c>
      <c r="L257" t="s">
        <v>92</v>
      </c>
      <c r="M257" s="2">
        <f>Table1[[#This Row],[Revenue_INR]]-Table1[[#This Row],[Price_INR]]</f>
        <v>9680</v>
      </c>
      <c r="N257">
        <f>YEAR(Table1[[#This Row],[Date]])</f>
        <v>2024</v>
      </c>
      <c r="O257" s="2">
        <f t="shared" si="12"/>
        <v>880</v>
      </c>
      <c r="P257" s="7">
        <f t="shared" si="13"/>
        <v>91.666666666666657</v>
      </c>
      <c r="Q257" s="2">
        <f t="shared" si="14"/>
        <v>0</v>
      </c>
      <c r="R257" s="5" t="str">
        <f t="shared" si="15"/>
        <v>Below Average</v>
      </c>
      <c r="S257" s="5" t="str">
        <f>Table1[[#This Row],[Quarter]]&amp;" - "&amp;Table1[[#This Row],[City]]</f>
        <v>Q2 - Kolkata</v>
      </c>
    </row>
    <row r="258" spans="1:19" x14ac:dyDescent="0.3">
      <c r="A258" t="s">
        <v>320</v>
      </c>
      <c r="B258" s="1">
        <v>45389</v>
      </c>
      <c r="C258" t="s">
        <v>309</v>
      </c>
      <c r="D258" t="s">
        <v>310</v>
      </c>
      <c r="E258" t="s">
        <v>34</v>
      </c>
      <c r="F258" t="s">
        <v>47</v>
      </c>
      <c r="G258" t="s">
        <v>55</v>
      </c>
      <c r="H258">
        <v>8</v>
      </c>
      <c r="I258">
        <v>8200</v>
      </c>
      <c r="J258">
        <v>25</v>
      </c>
      <c r="K258">
        <v>49200</v>
      </c>
      <c r="L258" t="s">
        <v>45</v>
      </c>
      <c r="M258" s="2">
        <f>Table1[[#This Row],[Revenue_INR]]-Table1[[#This Row],[Price_INR]]</f>
        <v>41000</v>
      </c>
      <c r="N258">
        <f>YEAR(Table1[[#This Row],[Date]])</f>
        <v>2024</v>
      </c>
      <c r="O258" s="2">
        <f t="shared" ref="O258:O321" si="16">K258/H258</f>
        <v>6150</v>
      </c>
      <c r="P258" s="7">
        <f t="shared" ref="P258:P321" si="17">M258/K258*100</f>
        <v>83.333333333333343</v>
      </c>
      <c r="Q258" s="2">
        <f t="shared" ref="Q258:Q321" si="18">I258*H258*J258/100</f>
        <v>16400</v>
      </c>
      <c r="R258" s="5" t="str">
        <f t="shared" ref="R258:R321" si="19">IF(K258&gt;AVERAGE($K$2:$K$1001),"Above Average","Below Average")</f>
        <v>Above Average</v>
      </c>
      <c r="S258" s="5" t="str">
        <f>Table1[[#This Row],[Quarter]]&amp;" - "&amp;Table1[[#This Row],[City]]</f>
        <v>Q2 - Delhi</v>
      </c>
    </row>
    <row r="259" spans="1:19" x14ac:dyDescent="0.3">
      <c r="A259" t="s">
        <v>321</v>
      </c>
      <c r="B259" s="1">
        <v>45390</v>
      </c>
      <c r="C259" t="s">
        <v>309</v>
      </c>
      <c r="D259" t="s">
        <v>310</v>
      </c>
      <c r="E259" t="s">
        <v>25</v>
      </c>
      <c r="F259" t="s">
        <v>60</v>
      </c>
      <c r="G259" t="s">
        <v>124</v>
      </c>
      <c r="H259">
        <v>3</v>
      </c>
      <c r="I259">
        <v>930</v>
      </c>
      <c r="J259">
        <v>5</v>
      </c>
      <c r="K259">
        <v>2650.5</v>
      </c>
      <c r="L259" t="s">
        <v>42</v>
      </c>
      <c r="M259" s="2">
        <f>Table1[[#This Row],[Revenue_INR]]-Table1[[#This Row],[Price_INR]]</f>
        <v>1720.5</v>
      </c>
      <c r="N259">
        <f>YEAR(Table1[[#This Row],[Date]])</f>
        <v>2024</v>
      </c>
      <c r="O259" s="2">
        <f t="shared" si="16"/>
        <v>883.5</v>
      </c>
      <c r="P259" s="7">
        <f t="shared" si="17"/>
        <v>64.912280701754383</v>
      </c>
      <c r="Q259" s="2">
        <f t="shared" si="18"/>
        <v>139.5</v>
      </c>
      <c r="R259" s="5" t="str">
        <f t="shared" si="19"/>
        <v>Below Average</v>
      </c>
      <c r="S259" s="5" t="str">
        <f>Table1[[#This Row],[Quarter]]&amp;" - "&amp;Table1[[#This Row],[City]]</f>
        <v>Q2 - Hyderabad</v>
      </c>
    </row>
    <row r="260" spans="1:19" x14ac:dyDescent="0.3">
      <c r="A260" t="s">
        <v>322</v>
      </c>
      <c r="B260" s="1">
        <v>45390</v>
      </c>
      <c r="C260" t="s">
        <v>309</v>
      </c>
      <c r="D260" t="s">
        <v>310</v>
      </c>
      <c r="E260" t="s">
        <v>15</v>
      </c>
      <c r="F260" t="s">
        <v>31</v>
      </c>
      <c r="G260" t="s">
        <v>38</v>
      </c>
      <c r="H260">
        <v>2</v>
      </c>
      <c r="I260">
        <v>2260</v>
      </c>
      <c r="J260">
        <v>25</v>
      </c>
      <c r="K260">
        <v>3390</v>
      </c>
      <c r="L260" t="s">
        <v>53</v>
      </c>
      <c r="M260" s="2">
        <f>Table1[[#This Row],[Revenue_INR]]-Table1[[#This Row],[Price_INR]]</f>
        <v>1130</v>
      </c>
      <c r="N260">
        <f>YEAR(Table1[[#This Row],[Date]])</f>
        <v>2024</v>
      </c>
      <c r="O260" s="2">
        <f t="shared" si="16"/>
        <v>1695</v>
      </c>
      <c r="P260" s="7">
        <f t="shared" si="17"/>
        <v>33.333333333333329</v>
      </c>
      <c r="Q260" s="2">
        <f t="shared" si="18"/>
        <v>1130</v>
      </c>
      <c r="R260" s="5" t="str">
        <f t="shared" si="19"/>
        <v>Below Average</v>
      </c>
      <c r="S260" s="5" t="str">
        <f>Table1[[#This Row],[Quarter]]&amp;" - "&amp;Table1[[#This Row],[City]]</f>
        <v>Q2 - Kolkata</v>
      </c>
    </row>
    <row r="261" spans="1:19" x14ac:dyDescent="0.3">
      <c r="A261" t="s">
        <v>323</v>
      </c>
      <c r="B261" s="1">
        <v>45391</v>
      </c>
      <c r="C261" t="s">
        <v>309</v>
      </c>
      <c r="D261" t="s">
        <v>310</v>
      </c>
      <c r="E261" t="s">
        <v>15</v>
      </c>
      <c r="F261" t="s">
        <v>47</v>
      </c>
      <c r="G261" t="s">
        <v>51</v>
      </c>
      <c r="H261">
        <v>10</v>
      </c>
      <c r="I261">
        <v>7140</v>
      </c>
      <c r="J261">
        <v>30</v>
      </c>
      <c r="K261">
        <v>49980</v>
      </c>
      <c r="L261" t="s">
        <v>18</v>
      </c>
      <c r="M261" s="2">
        <f>Table1[[#This Row],[Revenue_INR]]-Table1[[#This Row],[Price_INR]]</f>
        <v>42840</v>
      </c>
      <c r="N261">
        <f>YEAR(Table1[[#This Row],[Date]])</f>
        <v>2024</v>
      </c>
      <c r="O261" s="2">
        <f t="shared" si="16"/>
        <v>4998</v>
      </c>
      <c r="P261" s="7">
        <f t="shared" si="17"/>
        <v>85.714285714285708</v>
      </c>
      <c r="Q261" s="2">
        <f t="shared" si="18"/>
        <v>21420</v>
      </c>
      <c r="R261" s="5" t="str">
        <f t="shared" si="19"/>
        <v>Above Average</v>
      </c>
      <c r="S261" s="5" t="str">
        <f>Table1[[#This Row],[Quarter]]&amp;" - "&amp;Table1[[#This Row],[City]]</f>
        <v>Q2 - Kolkata</v>
      </c>
    </row>
    <row r="262" spans="1:19" x14ac:dyDescent="0.3">
      <c r="A262" t="s">
        <v>324</v>
      </c>
      <c r="B262" s="1">
        <v>45392</v>
      </c>
      <c r="C262" t="s">
        <v>309</v>
      </c>
      <c r="D262" t="s">
        <v>310</v>
      </c>
      <c r="E262" t="s">
        <v>25</v>
      </c>
      <c r="F262" t="s">
        <v>47</v>
      </c>
      <c r="G262" t="s">
        <v>48</v>
      </c>
      <c r="H262">
        <v>8</v>
      </c>
      <c r="I262">
        <v>6140</v>
      </c>
      <c r="J262">
        <v>30</v>
      </c>
      <c r="K262">
        <v>34384</v>
      </c>
      <c r="L262" t="s">
        <v>66</v>
      </c>
      <c r="M262" s="2">
        <f>Table1[[#This Row],[Revenue_INR]]-Table1[[#This Row],[Price_INR]]</f>
        <v>28244</v>
      </c>
      <c r="N262">
        <f>YEAR(Table1[[#This Row],[Date]])</f>
        <v>2024</v>
      </c>
      <c r="O262" s="2">
        <f t="shared" si="16"/>
        <v>4298</v>
      </c>
      <c r="P262" s="7">
        <f t="shared" si="17"/>
        <v>82.142857142857139</v>
      </c>
      <c r="Q262" s="2">
        <f t="shared" si="18"/>
        <v>14736</v>
      </c>
      <c r="R262" s="5" t="str">
        <f t="shared" si="19"/>
        <v>Above Average</v>
      </c>
      <c r="S262" s="5" t="str">
        <f>Table1[[#This Row],[Quarter]]&amp;" - "&amp;Table1[[#This Row],[City]]</f>
        <v>Q2 - Hyderabad</v>
      </c>
    </row>
    <row r="263" spans="1:19" x14ac:dyDescent="0.3">
      <c r="A263" t="s">
        <v>325</v>
      </c>
      <c r="B263" s="1">
        <v>45393</v>
      </c>
      <c r="C263" t="s">
        <v>309</v>
      </c>
      <c r="D263" t="s">
        <v>310</v>
      </c>
      <c r="E263" t="s">
        <v>34</v>
      </c>
      <c r="F263" t="s">
        <v>60</v>
      </c>
      <c r="G263" t="s">
        <v>85</v>
      </c>
      <c r="H263">
        <v>4</v>
      </c>
      <c r="I263">
        <v>1880</v>
      </c>
      <c r="J263">
        <v>30</v>
      </c>
      <c r="K263">
        <v>5264</v>
      </c>
      <c r="L263" t="s">
        <v>45</v>
      </c>
      <c r="M263" s="2">
        <f>Table1[[#This Row],[Revenue_INR]]-Table1[[#This Row],[Price_INR]]</f>
        <v>3384</v>
      </c>
      <c r="N263">
        <f>YEAR(Table1[[#This Row],[Date]])</f>
        <v>2024</v>
      </c>
      <c r="O263" s="2">
        <f t="shared" si="16"/>
        <v>1316</v>
      </c>
      <c r="P263" s="7">
        <f t="shared" si="17"/>
        <v>64.285714285714292</v>
      </c>
      <c r="Q263" s="2">
        <f t="shared" si="18"/>
        <v>2256</v>
      </c>
      <c r="R263" s="5" t="str">
        <f t="shared" si="19"/>
        <v>Below Average</v>
      </c>
      <c r="S263" s="5" t="str">
        <f>Table1[[#This Row],[Quarter]]&amp;" - "&amp;Table1[[#This Row],[City]]</f>
        <v>Q2 - Delhi</v>
      </c>
    </row>
    <row r="264" spans="1:19" x14ac:dyDescent="0.3">
      <c r="A264" t="s">
        <v>326</v>
      </c>
      <c r="B264" s="1">
        <v>45393</v>
      </c>
      <c r="C264" t="s">
        <v>309</v>
      </c>
      <c r="D264" t="s">
        <v>310</v>
      </c>
      <c r="E264" t="s">
        <v>15</v>
      </c>
      <c r="F264" t="s">
        <v>16</v>
      </c>
      <c r="G264" t="s">
        <v>44</v>
      </c>
      <c r="H264">
        <v>8</v>
      </c>
      <c r="I264">
        <v>2360</v>
      </c>
      <c r="J264">
        <v>20</v>
      </c>
      <c r="K264">
        <v>15104</v>
      </c>
      <c r="L264" t="s">
        <v>53</v>
      </c>
      <c r="M264" s="2">
        <f>Table1[[#This Row],[Revenue_INR]]-Table1[[#This Row],[Price_INR]]</f>
        <v>12744</v>
      </c>
      <c r="N264">
        <f>YEAR(Table1[[#This Row],[Date]])</f>
        <v>2024</v>
      </c>
      <c r="O264" s="2">
        <f t="shared" si="16"/>
        <v>1888</v>
      </c>
      <c r="P264" s="7">
        <f t="shared" si="17"/>
        <v>84.375</v>
      </c>
      <c r="Q264" s="2">
        <f t="shared" si="18"/>
        <v>3776</v>
      </c>
      <c r="R264" s="5" t="str">
        <f t="shared" si="19"/>
        <v>Below Average</v>
      </c>
      <c r="S264" s="5" t="str">
        <f>Table1[[#This Row],[Quarter]]&amp;" - "&amp;Table1[[#This Row],[City]]</f>
        <v>Q2 - Kolkata</v>
      </c>
    </row>
    <row r="265" spans="1:19" x14ac:dyDescent="0.3">
      <c r="A265" t="s">
        <v>327</v>
      </c>
      <c r="B265" s="1">
        <v>45394</v>
      </c>
      <c r="C265" t="s">
        <v>309</v>
      </c>
      <c r="D265" t="s">
        <v>310</v>
      </c>
      <c r="E265" t="s">
        <v>20</v>
      </c>
      <c r="F265" t="s">
        <v>47</v>
      </c>
      <c r="G265" t="s">
        <v>55</v>
      </c>
      <c r="H265">
        <v>1</v>
      </c>
      <c r="I265">
        <v>3790</v>
      </c>
      <c r="J265">
        <v>10</v>
      </c>
      <c r="K265">
        <v>3411</v>
      </c>
      <c r="L265" t="s">
        <v>77</v>
      </c>
      <c r="M265" s="2">
        <f>Table1[[#This Row],[Revenue_INR]]-Table1[[#This Row],[Price_INR]]</f>
        <v>-379</v>
      </c>
      <c r="N265">
        <f>YEAR(Table1[[#This Row],[Date]])</f>
        <v>2024</v>
      </c>
      <c r="O265" s="2">
        <f t="shared" si="16"/>
        <v>3411</v>
      </c>
      <c r="P265" s="7">
        <f t="shared" si="17"/>
        <v>-11.111111111111111</v>
      </c>
      <c r="Q265" s="2">
        <f t="shared" si="18"/>
        <v>379</v>
      </c>
      <c r="R265" s="5" t="str">
        <f t="shared" si="19"/>
        <v>Below Average</v>
      </c>
      <c r="S265" s="5" t="str">
        <f>Table1[[#This Row],[Quarter]]&amp;" - "&amp;Table1[[#This Row],[City]]</f>
        <v>Q2 - Mumbai</v>
      </c>
    </row>
    <row r="266" spans="1:19" x14ac:dyDescent="0.3">
      <c r="A266" t="s">
        <v>328</v>
      </c>
      <c r="B266" s="1">
        <v>45395</v>
      </c>
      <c r="C266" t="s">
        <v>309</v>
      </c>
      <c r="D266" t="s">
        <v>310</v>
      </c>
      <c r="E266" t="s">
        <v>34</v>
      </c>
      <c r="F266" t="s">
        <v>60</v>
      </c>
      <c r="G266" t="s">
        <v>124</v>
      </c>
      <c r="H266">
        <v>5</v>
      </c>
      <c r="I266">
        <v>2040</v>
      </c>
      <c r="J266">
        <v>25</v>
      </c>
      <c r="K266">
        <v>7650</v>
      </c>
      <c r="L266" t="s">
        <v>45</v>
      </c>
      <c r="M266" s="2">
        <f>Table1[[#This Row],[Revenue_INR]]-Table1[[#This Row],[Price_INR]]</f>
        <v>5610</v>
      </c>
      <c r="N266">
        <f>YEAR(Table1[[#This Row],[Date]])</f>
        <v>2024</v>
      </c>
      <c r="O266" s="2">
        <f t="shared" si="16"/>
        <v>1530</v>
      </c>
      <c r="P266" s="7">
        <f t="shared" si="17"/>
        <v>73.333333333333329</v>
      </c>
      <c r="Q266" s="2">
        <f t="shared" si="18"/>
        <v>2550</v>
      </c>
      <c r="R266" s="5" t="str">
        <f t="shared" si="19"/>
        <v>Below Average</v>
      </c>
      <c r="S266" s="5" t="str">
        <f>Table1[[#This Row],[Quarter]]&amp;" - "&amp;Table1[[#This Row],[City]]</f>
        <v>Q2 - Delhi</v>
      </c>
    </row>
    <row r="267" spans="1:19" x14ac:dyDescent="0.3">
      <c r="A267" t="s">
        <v>329</v>
      </c>
      <c r="B267" s="1">
        <v>45395</v>
      </c>
      <c r="C267" t="s">
        <v>309</v>
      </c>
      <c r="D267" t="s">
        <v>310</v>
      </c>
      <c r="E267" t="s">
        <v>25</v>
      </c>
      <c r="F267" t="s">
        <v>60</v>
      </c>
      <c r="G267" t="s">
        <v>124</v>
      </c>
      <c r="H267">
        <v>15</v>
      </c>
      <c r="I267">
        <v>600</v>
      </c>
      <c r="J267">
        <v>20</v>
      </c>
      <c r="K267">
        <v>7200</v>
      </c>
      <c r="L267" t="s">
        <v>42</v>
      </c>
      <c r="M267" s="2">
        <f>Table1[[#This Row],[Revenue_INR]]-Table1[[#This Row],[Price_INR]]</f>
        <v>6600</v>
      </c>
      <c r="N267">
        <f>YEAR(Table1[[#This Row],[Date]])</f>
        <v>2024</v>
      </c>
      <c r="O267" s="2">
        <f t="shared" si="16"/>
        <v>480</v>
      </c>
      <c r="P267" s="7">
        <f t="shared" si="17"/>
        <v>91.666666666666657</v>
      </c>
      <c r="Q267" s="2">
        <f t="shared" si="18"/>
        <v>1800</v>
      </c>
      <c r="R267" s="5" t="str">
        <f t="shared" si="19"/>
        <v>Below Average</v>
      </c>
      <c r="S267" s="5" t="str">
        <f>Table1[[#This Row],[Quarter]]&amp;" - "&amp;Table1[[#This Row],[City]]</f>
        <v>Q2 - Hyderabad</v>
      </c>
    </row>
    <row r="268" spans="1:19" x14ac:dyDescent="0.3">
      <c r="A268" t="s">
        <v>330</v>
      </c>
      <c r="B268" s="1">
        <v>45396</v>
      </c>
      <c r="C268" t="s">
        <v>309</v>
      </c>
      <c r="D268" t="s">
        <v>310</v>
      </c>
      <c r="E268" t="s">
        <v>15</v>
      </c>
      <c r="F268" t="s">
        <v>26</v>
      </c>
      <c r="G268" t="s">
        <v>27</v>
      </c>
      <c r="H268">
        <v>11</v>
      </c>
      <c r="I268">
        <v>8540</v>
      </c>
      <c r="J268">
        <v>15</v>
      </c>
      <c r="K268">
        <v>79849</v>
      </c>
      <c r="L268" t="s">
        <v>53</v>
      </c>
      <c r="M268" s="2">
        <f>Table1[[#This Row],[Revenue_INR]]-Table1[[#This Row],[Price_INR]]</f>
        <v>71309</v>
      </c>
      <c r="N268">
        <f>YEAR(Table1[[#This Row],[Date]])</f>
        <v>2024</v>
      </c>
      <c r="O268" s="2">
        <f t="shared" si="16"/>
        <v>7259</v>
      </c>
      <c r="P268" s="7">
        <f t="shared" si="17"/>
        <v>89.304812834224606</v>
      </c>
      <c r="Q268" s="2">
        <f t="shared" si="18"/>
        <v>14091</v>
      </c>
      <c r="R268" s="5" t="str">
        <f t="shared" si="19"/>
        <v>Above Average</v>
      </c>
      <c r="S268" s="5" t="str">
        <f>Table1[[#This Row],[Quarter]]&amp;" - "&amp;Table1[[#This Row],[City]]</f>
        <v>Q2 - Kolkata</v>
      </c>
    </row>
    <row r="269" spans="1:19" x14ac:dyDescent="0.3">
      <c r="A269" t="s">
        <v>331</v>
      </c>
      <c r="B269" s="1">
        <v>45397</v>
      </c>
      <c r="C269" t="s">
        <v>309</v>
      </c>
      <c r="D269" t="s">
        <v>310</v>
      </c>
      <c r="E269" t="s">
        <v>34</v>
      </c>
      <c r="F269" t="s">
        <v>16</v>
      </c>
      <c r="G269" t="s">
        <v>69</v>
      </c>
      <c r="H269">
        <v>11</v>
      </c>
      <c r="I269">
        <v>2590</v>
      </c>
      <c r="J269">
        <v>10</v>
      </c>
      <c r="K269">
        <v>25641</v>
      </c>
      <c r="L269" t="s">
        <v>36</v>
      </c>
      <c r="M269" s="2">
        <f>Table1[[#This Row],[Revenue_INR]]-Table1[[#This Row],[Price_INR]]</f>
        <v>23051</v>
      </c>
      <c r="N269">
        <f>YEAR(Table1[[#This Row],[Date]])</f>
        <v>2024</v>
      </c>
      <c r="O269" s="2">
        <f t="shared" si="16"/>
        <v>2331</v>
      </c>
      <c r="P269" s="7">
        <f t="shared" si="17"/>
        <v>89.898989898989896</v>
      </c>
      <c r="Q269" s="2">
        <f t="shared" si="18"/>
        <v>2849</v>
      </c>
      <c r="R269" s="5" t="str">
        <f t="shared" si="19"/>
        <v>Above Average</v>
      </c>
      <c r="S269" s="5" t="str">
        <f>Table1[[#This Row],[Quarter]]&amp;" - "&amp;Table1[[#This Row],[City]]</f>
        <v>Q2 - Delhi</v>
      </c>
    </row>
    <row r="270" spans="1:19" x14ac:dyDescent="0.3">
      <c r="A270" t="s">
        <v>332</v>
      </c>
      <c r="B270" s="1">
        <v>45400</v>
      </c>
      <c r="C270" t="s">
        <v>309</v>
      </c>
      <c r="D270" t="s">
        <v>310</v>
      </c>
      <c r="E270" t="s">
        <v>20</v>
      </c>
      <c r="F270" t="s">
        <v>31</v>
      </c>
      <c r="G270" t="s">
        <v>38</v>
      </c>
      <c r="H270">
        <v>10</v>
      </c>
      <c r="I270">
        <v>2760</v>
      </c>
      <c r="J270">
        <v>20</v>
      </c>
      <c r="K270">
        <v>22080</v>
      </c>
      <c r="L270" t="s">
        <v>39</v>
      </c>
      <c r="M270" s="2">
        <f>Table1[[#This Row],[Revenue_INR]]-Table1[[#This Row],[Price_INR]]</f>
        <v>19320</v>
      </c>
      <c r="N270">
        <f>YEAR(Table1[[#This Row],[Date]])</f>
        <v>2024</v>
      </c>
      <c r="O270" s="2">
        <f t="shared" si="16"/>
        <v>2208</v>
      </c>
      <c r="P270" s="7">
        <f t="shared" si="17"/>
        <v>87.5</v>
      </c>
      <c r="Q270" s="2">
        <f t="shared" si="18"/>
        <v>5520</v>
      </c>
      <c r="R270" s="5" t="str">
        <f t="shared" si="19"/>
        <v>Below Average</v>
      </c>
      <c r="S270" s="5" t="str">
        <f>Table1[[#This Row],[Quarter]]&amp;" - "&amp;Table1[[#This Row],[City]]</f>
        <v>Q2 - Mumbai</v>
      </c>
    </row>
    <row r="271" spans="1:19" x14ac:dyDescent="0.3">
      <c r="A271" t="s">
        <v>333</v>
      </c>
      <c r="B271" s="1">
        <v>45400</v>
      </c>
      <c r="C271" t="s">
        <v>309</v>
      </c>
      <c r="D271" t="s">
        <v>310</v>
      </c>
      <c r="E271" t="s">
        <v>20</v>
      </c>
      <c r="F271" t="s">
        <v>26</v>
      </c>
      <c r="G271" t="s">
        <v>80</v>
      </c>
      <c r="H271">
        <v>4</v>
      </c>
      <c r="I271">
        <v>12400</v>
      </c>
      <c r="J271">
        <v>25</v>
      </c>
      <c r="K271">
        <v>37200</v>
      </c>
      <c r="L271" t="s">
        <v>23</v>
      </c>
      <c r="M271" s="2">
        <f>Table1[[#This Row],[Revenue_INR]]-Table1[[#This Row],[Price_INR]]</f>
        <v>24800</v>
      </c>
      <c r="N271">
        <f>YEAR(Table1[[#This Row],[Date]])</f>
        <v>2024</v>
      </c>
      <c r="O271" s="2">
        <f t="shared" si="16"/>
        <v>9300</v>
      </c>
      <c r="P271" s="7">
        <f t="shared" si="17"/>
        <v>66.666666666666657</v>
      </c>
      <c r="Q271" s="2">
        <f t="shared" si="18"/>
        <v>12400</v>
      </c>
      <c r="R271" s="5" t="str">
        <f t="shared" si="19"/>
        <v>Above Average</v>
      </c>
      <c r="S271" s="5" t="str">
        <f>Table1[[#This Row],[Quarter]]&amp;" - "&amp;Table1[[#This Row],[City]]</f>
        <v>Q2 - Mumbai</v>
      </c>
    </row>
    <row r="272" spans="1:19" x14ac:dyDescent="0.3">
      <c r="A272" t="s">
        <v>334</v>
      </c>
      <c r="B272" s="1">
        <v>45400</v>
      </c>
      <c r="C272" t="s">
        <v>309</v>
      </c>
      <c r="D272" t="s">
        <v>310</v>
      </c>
      <c r="E272" t="s">
        <v>25</v>
      </c>
      <c r="F272" t="s">
        <v>47</v>
      </c>
      <c r="G272" t="s">
        <v>55</v>
      </c>
      <c r="H272">
        <v>12</v>
      </c>
      <c r="I272">
        <v>3600</v>
      </c>
      <c r="J272">
        <v>5</v>
      </c>
      <c r="K272">
        <v>41040</v>
      </c>
      <c r="L272" t="s">
        <v>66</v>
      </c>
      <c r="M272" s="2">
        <f>Table1[[#This Row],[Revenue_INR]]-Table1[[#This Row],[Price_INR]]</f>
        <v>37440</v>
      </c>
      <c r="N272">
        <f>YEAR(Table1[[#This Row],[Date]])</f>
        <v>2024</v>
      </c>
      <c r="O272" s="2">
        <f t="shared" si="16"/>
        <v>3420</v>
      </c>
      <c r="P272" s="7">
        <f t="shared" si="17"/>
        <v>91.228070175438589</v>
      </c>
      <c r="Q272" s="2">
        <f t="shared" si="18"/>
        <v>2160</v>
      </c>
      <c r="R272" s="5" t="str">
        <f t="shared" si="19"/>
        <v>Above Average</v>
      </c>
      <c r="S272" s="5" t="str">
        <f>Table1[[#This Row],[Quarter]]&amp;" - "&amp;Table1[[#This Row],[City]]</f>
        <v>Q2 - Hyderabad</v>
      </c>
    </row>
    <row r="273" spans="1:19" x14ac:dyDescent="0.3">
      <c r="A273" t="s">
        <v>335</v>
      </c>
      <c r="B273" s="1">
        <v>45401</v>
      </c>
      <c r="C273" t="s">
        <v>309</v>
      </c>
      <c r="D273" t="s">
        <v>310</v>
      </c>
      <c r="E273" t="s">
        <v>34</v>
      </c>
      <c r="F273" t="s">
        <v>60</v>
      </c>
      <c r="G273" t="s">
        <v>124</v>
      </c>
      <c r="H273">
        <v>14</v>
      </c>
      <c r="I273">
        <v>690</v>
      </c>
      <c r="J273">
        <v>20</v>
      </c>
      <c r="K273">
        <v>7728</v>
      </c>
      <c r="L273" t="s">
        <v>45</v>
      </c>
      <c r="M273" s="2">
        <f>Table1[[#This Row],[Revenue_INR]]-Table1[[#This Row],[Price_INR]]</f>
        <v>7038</v>
      </c>
      <c r="N273">
        <f>YEAR(Table1[[#This Row],[Date]])</f>
        <v>2024</v>
      </c>
      <c r="O273" s="2">
        <f t="shared" si="16"/>
        <v>552</v>
      </c>
      <c r="P273" s="7">
        <f t="shared" si="17"/>
        <v>91.071428571428569</v>
      </c>
      <c r="Q273" s="2">
        <f t="shared" si="18"/>
        <v>1932</v>
      </c>
      <c r="R273" s="5" t="str">
        <f t="shared" si="19"/>
        <v>Below Average</v>
      </c>
      <c r="S273" s="5" t="str">
        <f>Table1[[#This Row],[Quarter]]&amp;" - "&amp;Table1[[#This Row],[City]]</f>
        <v>Q2 - Delhi</v>
      </c>
    </row>
    <row r="274" spans="1:19" x14ac:dyDescent="0.3">
      <c r="A274" t="s">
        <v>336</v>
      </c>
      <c r="B274" s="1">
        <v>45401</v>
      </c>
      <c r="C274" t="s">
        <v>309</v>
      </c>
      <c r="D274" t="s">
        <v>310</v>
      </c>
      <c r="E274" t="s">
        <v>25</v>
      </c>
      <c r="F274" t="s">
        <v>47</v>
      </c>
      <c r="G274" t="s">
        <v>48</v>
      </c>
      <c r="H274">
        <v>8</v>
      </c>
      <c r="I274">
        <v>5250</v>
      </c>
      <c r="J274">
        <v>25</v>
      </c>
      <c r="K274">
        <v>31500</v>
      </c>
      <c r="L274" t="s">
        <v>66</v>
      </c>
      <c r="M274" s="2">
        <f>Table1[[#This Row],[Revenue_INR]]-Table1[[#This Row],[Price_INR]]</f>
        <v>26250</v>
      </c>
      <c r="N274">
        <f>YEAR(Table1[[#This Row],[Date]])</f>
        <v>2024</v>
      </c>
      <c r="O274" s="2">
        <f t="shared" si="16"/>
        <v>3937.5</v>
      </c>
      <c r="P274" s="7">
        <f t="shared" si="17"/>
        <v>83.333333333333343</v>
      </c>
      <c r="Q274" s="2">
        <f t="shared" si="18"/>
        <v>10500</v>
      </c>
      <c r="R274" s="5" t="str">
        <f t="shared" si="19"/>
        <v>Above Average</v>
      </c>
      <c r="S274" s="5" t="str">
        <f>Table1[[#This Row],[Quarter]]&amp;" - "&amp;Table1[[#This Row],[City]]</f>
        <v>Q2 - Hyderabad</v>
      </c>
    </row>
    <row r="275" spans="1:19" x14ac:dyDescent="0.3">
      <c r="A275" t="s">
        <v>337</v>
      </c>
      <c r="B275" s="1">
        <v>45401</v>
      </c>
      <c r="C275" t="s">
        <v>309</v>
      </c>
      <c r="D275" t="s">
        <v>310</v>
      </c>
      <c r="E275" t="s">
        <v>20</v>
      </c>
      <c r="F275" t="s">
        <v>16</v>
      </c>
      <c r="G275" t="s">
        <v>69</v>
      </c>
      <c r="H275">
        <v>11</v>
      </c>
      <c r="I275">
        <v>870</v>
      </c>
      <c r="J275">
        <v>30</v>
      </c>
      <c r="K275">
        <v>6699</v>
      </c>
      <c r="L275" t="s">
        <v>77</v>
      </c>
      <c r="M275" s="2">
        <f>Table1[[#This Row],[Revenue_INR]]-Table1[[#This Row],[Price_INR]]</f>
        <v>5829</v>
      </c>
      <c r="N275">
        <f>YEAR(Table1[[#This Row],[Date]])</f>
        <v>2024</v>
      </c>
      <c r="O275" s="2">
        <f t="shared" si="16"/>
        <v>609</v>
      </c>
      <c r="P275" s="7">
        <f t="shared" si="17"/>
        <v>87.012987012987011</v>
      </c>
      <c r="Q275" s="2">
        <f t="shared" si="18"/>
        <v>2871</v>
      </c>
      <c r="R275" s="5" t="str">
        <f t="shared" si="19"/>
        <v>Below Average</v>
      </c>
      <c r="S275" s="5" t="str">
        <f>Table1[[#This Row],[Quarter]]&amp;" - "&amp;Table1[[#This Row],[City]]</f>
        <v>Q2 - Mumbai</v>
      </c>
    </row>
    <row r="276" spans="1:19" x14ac:dyDescent="0.3">
      <c r="A276" t="s">
        <v>338</v>
      </c>
      <c r="B276" s="1">
        <v>45403</v>
      </c>
      <c r="C276" t="s">
        <v>309</v>
      </c>
      <c r="D276" t="s">
        <v>310</v>
      </c>
      <c r="E276" t="s">
        <v>15</v>
      </c>
      <c r="F276" t="s">
        <v>31</v>
      </c>
      <c r="G276" t="s">
        <v>35</v>
      </c>
      <c r="H276">
        <v>1</v>
      </c>
      <c r="I276">
        <v>4220</v>
      </c>
      <c r="J276">
        <v>0</v>
      </c>
      <c r="K276">
        <v>4220</v>
      </c>
      <c r="L276" t="s">
        <v>92</v>
      </c>
      <c r="M276" s="2">
        <f>Table1[[#This Row],[Revenue_INR]]-Table1[[#This Row],[Price_INR]]</f>
        <v>0</v>
      </c>
      <c r="N276">
        <f>YEAR(Table1[[#This Row],[Date]])</f>
        <v>2024</v>
      </c>
      <c r="O276" s="2">
        <f t="shared" si="16"/>
        <v>4220</v>
      </c>
      <c r="P276" s="7">
        <f t="shared" si="17"/>
        <v>0</v>
      </c>
      <c r="Q276" s="2">
        <f t="shared" si="18"/>
        <v>0</v>
      </c>
      <c r="R276" s="5" t="str">
        <f t="shared" si="19"/>
        <v>Below Average</v>
      </c>
      <c r="S276" s="5" t="str">
        <f>Table1[[#This Row],[Quarter]]&amp;" - "&amp;Table1[[#This Row],[City]]</f>
        <v>Q2 - Kolkata</v>
      </c>
    </row>
    <row r="277" spans="1:19" x14ac:dyDescent="0.3">
      <c r="A277" t="s">
        <v>339</v>
      </c>
      <c r="B277" s="1">
        <v>45404</v>
      </c>
      <c r="C277" t="s">
        <v>309</v>
      </c>
      <c r="D277" t="s">
        <v>310</v>
      </c>
      <c r="E277" t="s">
        <v>20</v>
      </c>
      <c r="F277" t="s">
        <v>47</v>
      </c>
      <c r="G277" t="s">
        <v>102</v>
      </c>
      <c r="H277">
        <v>13</v>
      </c>
      <c r="I277">
        <v>4930</v>
      </c>
      <c r="J277">
        <v>10</v>
      </c>
      <c r="K277">
        <v>57681</v>
      </c>
      <c r="L277" t="s">
        <v>23</v>
      </c>
      <c r="M277" s="2">
        <f>Table1[[#This Row],[Revenue_INR]]-Table1[[#This Row],[Price_INR]]</f>
        <v>52751</v>
      </c>
      <c r="N277">
        <f>YEAR(Table1[[#This Row],[Date]])</f>
        <v>2024</v>
      </c>
      <c r="O277" s="2">
        <f t="shared" si="16"/>
        <v>4437</v>
      </c>
      <c r="P277" s="7">
        <f t="shared" si="17"/>
        <v>91.452991452991455</v>
      </c>
      <c r="Q277" s="2">
        <f t="shared" si="18"/>
        <v>6409</v>
      </c>
      <c r="R277" s="5" t="str">
        <f t="shared" si="19"/>
        <v>Above Average</v>
      </c>
      <c r="S277" s="5" t="str">
        <f>Table1[[#This Row],[Quarter]]&amp;" - "&amp;Table1[[#This Row],[City]]</f>
        <v>Q2 - Mumbai</v>
      </c>
    </row>
    <row r="278" spans="1:19" x14ac:dyDescent="0.3">
      <c r="A278" t="s">
        <v>340</v>
      </c>
      <c r="B278" s="1">
        <v>45404</v>
      </c>
      <c r="C278" t="s">
        <v>309</v>
      </c>
      <c r="D278" t="s">
        <v>310</v>
      </c>
      <c r="E278" t="s">
        <v>25</v>
      </c>
      <c r="F278" t="s">
        <v>16</v>
      </c>
      <c r="G278" t="s">
        <v>69</v>
      </c>
      <c r="H278">
        <v>7</v>
      </c>
      <c r="I278">
        <v>1130</v>
      </c>
      <c r="J278">
        <v>20</v>
      </c>
      <c r="K278">
        <v>6328</v>
      </c>
      <c r="L278" t="s">
        <v>28</v>
      </c>
      <c r="M278" s="2">
        <f>Table1[[#This Row],[Revenue_INR]]-Table1[[#This Row],[Price_INR]]</f>
        <v>5198</v>
      </c>
      <c r="N278">
        <f>YEAR(Table1[[#This Row],[Date]])</f>
        <v>2024</v>
      </c>
      <c r="O278" s="2">
        <f t="shared" si="16"/>
        <v>904</v>
      </c>
      <c r="P278" s="7">
        <f t="shared" si="17"/>
        <v>82.142857142857139</v>
      </c>
      <c r="Q278" s="2">
        <f t="shared" si="18"/>
        <v>1582</v>
      </c>
      <c r="R278" s="5" t="str">
        <f t="shared" si="19"/>
        <v>Below Average</v>
      </c>
      <c r="S278" s="5" t="str">
        <f>Table1[[#This Row],[Quarter]]&amp;" - "&amp;Table1[[#This Row],[City]]</f>
        <v>Q2 - Hyderabad</v>
      </c>
    </row>
    <row r="279" spans="1:19" x14ac:dyDescent="0.3">
      <c r="A279" t="s">
        <v>341</v>
      </c>
      <c r="B279" s="1">
        <v>45404</v>
      </c>
      <c r="C279" t="s">
        <v>309</v>
      </c>
      <c r="D279" t="s">
        <v>310</v>
      </c>
      <c r="E279" t="s">
        <v>34</v>
      </c>
      <c r="F279" t="s">
        <v>16</v>
      </c>
      <c r="G279" t="s">
        <v>41</v>
      </c>
      <c r="H279">
        <v>7</v>
      </c>
      <c r="I279">
        <v>2720</v>
      </c>
      <c r="J279">
        <v>10</v>
      </c>
      <c r="K279">
        <v>17136</v>
      </c>
      <c r="L279" t="s">
        <v>45</v>
      </c>
      <c r="M279" s="2">
        <f>Table1[[#This Row],[Revenue_INR]]-Table1[[#This Row],[Price_INR]]</f>
        <v>14416</v>
      </c>
      <c r="N279">
        <f>YEAR(Table1[[#This Row],[Date]])</f>
        <v>2024</v>
      </c>
      <c r="O279" s="2">
        <f t="shared" si="16"/>
        <v>2448</v>
      </c>
      <c r="P279" s="7">
        <f t="shared" si="17"/>
        <v>84.126984126984127</v>
      </c>
      <c r="Q279" s="2">
        <f t="shared" si="18"/>
        <v>1904</v>
      </c>
      <c r="R279" s="5" t="str">
        <f t="shared" si="19"/>
        <v>Below Average</v>
      </c>
      <c r="S279" s="5" t="str">
        <f>Table1[[#This Row],[Quarter]]&amp;" - "&amp;Table1[[#This Row],[City]]</f>
        <v>Q2 - Delhi</v>
      </c>
    </row>
    <row r="280" spans="1:19" x14ac:dyDescent="0.3">
      <c r="A280" t="s">
        <v>342</v>
      </c>
      <c r="B280" s="1">
        <v>45405</v>
      </c>
      <c r="C280" t="s">
        <v>309</v>
      </c>
      <c r="D280" t="s">
        <v>310</v>
      </c>
      <c r="E280" t="s">
        <v>34</v>
      </c>
      <c r="F280" t="s">
        <v>21</v>
      </c>
      <c r="G280" t="s">
        <v>94</v>
      </c>
      <c r="H280">
        <v>14</v>
      </c>
      <c r="I280">
        <v>880</v>
      </c>
      <c r="J280">
        <v>0</v>
      </c>
      <c r="K280">
        <v>12320</v>
      </c>
      <c r="L280" t="s">
        <v>45</v>
      </c>
      <c r="M280" s="2">
        <f>Table1[[#This Row],[Revenue_INR]]-Table1[[#This Row],[Price_INR]]</f>
        <v>11440</v>
      </c>
      <c r="N280">
        <f>YEAR(Table1[[#This Row],[Date]])</f>
        <v>2024</v>
      </c>
      <c r="O280" s="2">
        <f t="shared" si="16"/>
        <v>880</v>
      </c>
      <c r="P280" s="7">
        <f t="shared" si="17"/>
        <v>92.857142857142861</v>
      </c>
      <c r="Q280" s="2">
        <f t="shared" si="18"/>
        <v>0</v>
      </c>
      <c r="R280" s="5" t="str">
        <f t="shared" si="19"/>
        <v>Below Average</v>
      </c>
      <c r="S280" s="5" t="str">
        <f>Table1[[#This Row],[Quarter]]&amp;" - "&amp;Table1[[#This Row],[City]]</f>
        <v>Q2 - Delhi</v>
      </c>
    </row>
    <row r="281" spans="1:19" x14ac:dyDescent="0.3">
      <c r="A281" t="s">
        <v>343</v>
      </c>
      <c r="B281" s="1">
        <v>45407</v>
      </c>
      <c r="C281" t="s">
        <v>309</v>
      </c>
      <c r="D281" t="s">
        <v>310</v>
      </c>
      <c r="E281" t="s">
        <v>34</v>
      </c>
      <c r="F281" t="s">
        <v>16</v>
      </c>
      <c r="G281" t="s">
        <v>17</v>
      </c>
      <c r="H281">
        <v>14</v>
      </c>
      <c r="I281">
        <v>1240</v>
      </c>
      <c r="J281">
        <v>10</v>
      </c>
      <c r="K281">
        <v>15624</v>
      </c>
      <c r="L281" t="s">
        <v>36</v>
      </c>
      <c r="M281" s="2">
        <f>Table1[[#This Row],[Revenue_INR]]-Table1[[#This Row],[Price_INR]]</f>
        <v>14384</v>
      </c>
      <c r="N281">
        <f>YEAR(Table1[[#This Row],[Date]])</f>
        <v>2024</v>
      </c>
      <c r="O281" s="2">
        <f t="shared" si="16"/>
        <v>1116</v>
      </c>
      <c r="P281" s="7">
        <f t="shared" si="17"/>
        <v>92.063492063492063</v>
      </c>
      <c r="Q281" s="2">
        <f t="shared" si="18"/>
        <v>1736</v>
      </c>
      <c r="R281" s="5" t="str">
        <f t="shared" si="19"/>
        <v>Below Average</v>
      </c>
      <c r="S281" s="5" t="str">
        <f>Table1[[#This Row],[Quarter]]&amp;" - "&amp;Table1[[#This Row],[City]]</f>
        <v>Q2 - Delhi</v>
      </c>
    </row>
    <row r="282" spans="1:19" x14ac:dyDescent="0.3">
      <c r="A282" t="s">
        <v>344</v>
      </c>
      <c r="B282" s="1">
        <v>45407</v>
      </c>
      <c r="C282" t="s">
        <v>309</v>
      </c>
      <c r="D282" t="s">
        <v>310</v>
      </c>
      <c r="E282" t="s">
        <v>34</v>
      </c>
      <c r="F282" t="s">
        <v>60</v>
      </c>
      <c r="G282" t="s">
        <v>124</v>
      </c>
      <c r="H282">
        <v>3</v>
      </c>
      <c r="I282">
        <v>2430</v>
      </c>
      <c r="J282">
        <v>30</v>
      </c>
      <c r="K282">
        <v>5103</v>
      </c>
      <c r="L282" t="s">
        <v>36</v>
      </c>
      <c r="M282" s="2">
        <f>Table1[[#This Row],[Revenue_INR]]-Table1[[#This Row],[Price_INR]]</f>
        <v>2673</v>
      </c>
      <c r="N282">
        <f>YEAR(Table1[[#This Row],[Date]])</f>
        <v>2024</v>
      </c>
      <c r="O282" s="2">
        <f t="shared" si="16"/>
        <v>1701</v>
      </c>
      <c r="P282" s="7">
        <f t="shared" si="17"/>
        <v>52.380952380952387</v>
      </c>
      <c r="Q282" s="2">
        <f t="shared" si="18"/>
        <v>2187</v>
      </c>
      <c r="R282" s="5" t="str">
        <f t="shared" si="19"/>
        <v>Below Average</v>
      </c>
      <c r="S282" s="5" t="str">
        <f>Table1[[#This Row],[Quarter]]&amp;" - "&amp;Table1[[#This Row],[City]]</f>
        <v>Q2 - Delhi</v>
      </c>
    </row>
    <row r="283" spans="1:19" x14ac:dyDescent="0.3">
      <c r="A283" t="s">
        <v>345</v>
      </c>
      <c r="B283" s="1">
        <v>45407</v>
      </c>
      <c r="C283" t="s">
        <v>309</v>
      </c>
      <c r="D283" t="s">
        <v>310</v>
      </c>
      <c r="E283" t="s">
        <v>25</v>
      </c>
      <c r="F283" t="s">
        <v>60</v>
      </c>
      <c r="G283" t="s">
        <v>124</v>
      </c>
      <c r="H283">
        <v>13</v>
      </c>
      <c r="I283">
        <v>1750</v>
      </c>
      <c r="J283">
        <v>20</v>
      </c>
      <c r="K283">
        <v>18200</v>
      </c>
      <c r="L283" t="s">
        <v>66</v>
      </c>
      <c r="M283" s="2">
        <f>Table1[[#This Row],[Revenue_INR]]-Table1[[#This Row],[Price_INR]]</f>
        <v>16450</v>
      </c>
      <c r="N283">
        <f>YEAR(Table1[[#This Row],[Date]])</f>
        <v>2024</v>
      </c>
      <c r="O283" s="2">
        <f t="shared" si="16"/>
        <v>1400</v>
      </c>
      <c r="P283" s="7">
        <f t="shared" si="17"/>
        <v>90.384615384615387</v>
      </c>
      <c r="Q283" s="2">
        <f t="shared" si="18"/>
        <v>4550</v>
      </c>
      <c r="R283" s="5" t="str">
        <f t="shared" si="19"/>
        <v>Below Average</v>
      </c>
      <c r="S283" s="5" t="str">
        <f>Table1[[#This Row],[Quarter]]&amp;" - "&amp;Table1[[#This Row],[City]]</f>
        <v>Q2 - Hyderabad</v>
      </c>
    </row>
    <row r="284" spans="1:19" x14ac:dyDescent="0.3">
      <c r="A284" t="s">
        <v>346</v>
      </c>
      <c r="B284" s="1">
        <v>45407</v>
      </c>
      <c r="C284" t="s">
        <v>309</v>
      </c>
      <c r="D284" t="s">
        <v>310</v>
      </c>
      <c r="E284" t="s">
        <v>25</v>
      </c>
      <c r="F284" t="s">
        <v>31</v>
      </c>
      <c r="G284" t="s">
        <v>32</v>
      </c>
      <c r="H284">
        <v>15</v>
      </c>
      <c r="I284">
        <v>1810</v>
      </c>
      <c r="J284">
        <v>25</v>
      </c>
      <c r="K284">
        <v>20362.5</v>
      </c>
      <c r="L284" t="s">
        <v>28</v>
      </c>
      <c r="M284" s="2">
        <f>Table1[[#This Row],[Revenue_INR]]-Table1[[#This Row],[Price_INR]]</f>
        <v>18552.5</v>
      </c>
      <c r="N284">
        <f>YEAR(Table1[[#This Row],[Date]])</f>
        <v>2024</v>
      </c>
      <c r="O284" s="2">
        <f t="shared" si="16"/>
        <v>1357.5</v>
      </c>
      <c r="P284" s="7">
        <f t="shared" si="17"/>
        <v>91.111111111111114</v>
      </c>
      <c r="Q284" s="2">
        <f t="shared" si="18"/>
        <v>6787.5</v>
      </c>
      <c r="R284" s="5" t="str">
        <f t="shared" si="19"/>
        <v>Below Average</v>
      </c>
      <c r="S284" s="5" t="str">
        <f>Table1[[#This Row],[Quarter]]&amp;" - "&amp;Table1[[#This Row],[City]]</f>
        <v>Q2 - Hyderabad</v>
      </c>
    </row>
    <row r="285" spans="1:19" x14ac:dyDescent="0.3">
      <c r="A285" t="s">
        <v>347</v>
      </c>
      <c r="B285" s="1">
        <v>45408</v>
      </c>
      <c r="C285" t="s">
        <v>309</v>
      </c>
      <c r="D285" t="s">
        <v>310</v>
      </c>
      <c r="E285" t="s">
        <v>20</v>
      </c>
      <c r="F285" t="s">
        <v>26</v>
      </c>
      <c r="G285" t="s">
        <v>80</v>
      </c>
      <c r="H285">
        <v>11</v>
      </c>
      <c r="I285">
        <v>4200</v>
      </c>
      <c r="J285">
        <v>10</v>
      </c>
      <c r="K285">
        <v>41580</v>
      </c>
      <c r="L285" t="s">
        <v>77</v>
      </c>
      <c r="M285" s="2">
        <f>Table1[[#This Row],[Revenue_INR]]-Table1[[#This Row],[Price_INR]]</f>
        <v>37380</v>
      </c>
      <c r="N285">
        <f>YEAR(Table1[[#This Row],[Date]])</f>
        <v>2024</v>
      </c>
      <c r="O285" s="2">
        <f t="shared" si="16"/>
        <v>3780</v>
      </c>
      <c r="P285" s="7">
        <f t="shared" si="17"/>
        <v>89.898989898989896</v>
      </c>
      <c r="Q285" s="2">
        <f t="shared" si="18"/>
        <v>4620</v>
      </c>
      <c r="R285" s="5" t="str">
        <f t="shared" si="19"/>
        <v>Above Average</v>
      </c>
      <c r="S285" s="5" t="str">
        <f>Table1[[#This Row],[Quarter]]&amp;" - "&amp;Table1[[#This Row],[City]]</f>
        <v>Q2 - Mumbai</v>
      </c>
    </row>
    <row r="286" spans="1:19" x14ac:dyDescent="0.3">
      <c r="A286" t="s">
        <v>348</v>
      </c>
      <c r="B286" s="1">
        <v>45408</v>
      </c>
      <c r="C286" t="s">
        <v>309</v>
      </c>
      <c r="D286" t="s">
        <v>310</v>
      </c>
      <c r="E286" t="s">
        <v>25</v>
      </c>
      <c r="F286" t="s">
        <v>16</v>
      </c>
      <c r="G286" t="s">
        <v>17</v>
      </c>
      <c r="H286">
        <v>2</v>
      </c>
      <c r="I286">
        <v>920</v>
      </c>
      <c r="J286">
        <v>10</v>
      </c>
      <c r="K286">
        <v>1656</v>
      </c>
      <c r="L286" t="s">
        <v>42</v>
      </c>
      <c r="M286" s="2">
        <f>Table1[[#This Row],[Revenue_INR]]-Table1[[#This Row],[Price_INR]]</f>
        <v>736</v>
      </c>
      <c r="N286">
        <f>YEAR(Table1[[#This Row],[Date]])</f>
        <v>2024</v>
      </c>
      <c r="O286" s="2">
        <f t="shared" si="16"/>
        <v>828</v>
      </c>
      <c r="P286" s="7">
        <f t="shared" si="17"/>
        <v>44.444444444444443</v>
      </c>
      <c r="Q286" s="2">
        <f t="shared" si="18"/>
        <v>184</v>
      </c>
      <c r="R286" s="5" t="str">
        <f t="shared" si="19"/>
        <v>Below Average</v>
      </c>
      <c r="S286" s="5" t="str">
        <f>Table1[[#This Row],[Quarter]]&amp;" - "&amp;Table1[[#This Row],[City]]</f>
        <v>Q2 - Hyderabad</v>
      </c>
    </row>
    <row r="287" spans="1:19" x14ac:dyDescent="0.3">
      <c r="A287" t="s">
        <v>349</v>
      </c>
      <c r="B287" s="1">
        <v>45408</v>
      </c>
      <c r="C287" t="s">
        <v>309</v>
      </c>
      <c r="D287" t="s">
        <v>310</v>
      </c>
      <c r="E287" t="s">
        <v>34</v>
      </c>
      <c r="F287" t="s">
        <v>26</v>
      </c>
      <c r="G287" t="s">
        <v>82</v>
      </c>
      <c r="H287">
        <v>1</v>
      </c>
      <c r="I287">
        <v>9600</v>
      </c>
      <c r="J287">
        <v>25</v>
      </c>
      <c r="K287">
        <v>7200</v>
      </c>
      <c r="L287" t="s">
        <v>49</v>
      </c>
      <c r="M287" s="2">
        <f>Table1[[#This Row],[Revenue_INR]]-Table1[[#This Row],[Price_INR]]</f>
        <v>-2400</v>
      </c>
      <c r="N287">
        <f>YEAR(Table1[[#This Row],[Date]])</f>
        <v>2024</v>
      </c>
      <c r="O287" s="2">
        <f t="shared" si="16"/>
        <v>7200</v>
      </c>
      <c r="P287" s="7">
        <f t="shared" si="17"/>
        <v>-33.333333333333329</v>
      </c>
      <c r="Q287" s="2">
        <f t="shared" si="18"/>
        <v>2400</v>
      </c>
      <c r="R287" s="5" t="str">
        <f t="shared" si="19"/>
        <v>Below Average</v>
      </c>
      <c r="S287" s="5" t="str">
        <f>Table1[[#This Row],[Quarter]]&amp;" - "&amp;Table1[[#This Row],[City]]</f>
        <v>Q2 - Delhi</v>
      </c>
    </row>
    <row r="288" spans="1:19" x14ac:dyDescent="0.3">
      <c r="A288" t="s">
        <v>350</v>
      </c>
      <c r="B288" s="1">
        <v>45408</v>
      </c>
      <c r="C288" t="s">
        <v>309</v>
      </c>
      <c r="D288" t="s">
        <v>310</v>
      </c>
      <c r="E288" t="s">
        <v>25</v>
      </c>
      <c r="F288" t="s">
        <v>21</v>
      </c>
      <c r="G288" t="s">
        <v>71</v>
      </c>
      <c r="H288">
        <v>14</v>
      </c>
      <c r="I288">
        <v>1740</v>
      </c>
      <c r="J288">
        <v>30</v>
      </c>
      <c r="K288">
        <v>17052</v>
      </c>
      <c r="L288" t="s">
        <v>42</v>
      </c>
      <c r="M288" s="2">
        <f>Table1[[#This Row],[Revenue_INR]]-Table1[[#This Row],[Price_INR]]</f>
        <v>15312</v>
      </c>
      <c r="N288">
        <f>YEAR(Table1[[#This Row],[Date]])</f>
        <v>2024</v>
      </c>
      <c r="O288" s="2">
        <f t="shared" si="16"/>
        <v>1218</v>
      </c>
      <c r="P288" s="7">
        <f t="shared" si="17"/>
        <v>89.795918367346943</v>
      </c>
      <c r="Q288" s="2">
        <f t="shared" si="18"/>
        <v>7308</v>
      </c>
      <c r="R288" s="5" t="str">
        <f t="shared" si="19"/>
        <v>Below Average</v>
      </c>
      <c r="S288" s="5" t="str">
        <f>Table1[[#This Row],[Quarter]]&amp;" - "&amp;Table1[[#This Row],[City]]</f>
        <v>Q2 - Hyderabad</v>
      </c>
    </row>
    <row r="289" spans="1:19" x14ac:dyDescent="0.3">
      <c r="A289" t="s">
        <v>351</v>
      </c>
      <c r="B289" s="1">
        <v>45409</v>
      </c>
      <c r="C289" t="s">
        <v>309</v>
      </c>
      <c r="D289" t="s">
        <v>310</v>
      </c>
      <c r="E289" t="s">
        <v>25</v>
      </c>
      <c r="F289" t="s">
        <v>16</v>
      </c>
      <c r="G289" t="s">
        <v>44</v>
      </c>
      <c r="H289">
        <v>9</v>
      </c>
      <c r="I289">
        <v>1860</v>
      </c>
      <c r="J289">
        <v>30</v>
      </c>
      <c r="K289">
        <v>11718</v>
      </c>
      <c r="L289" t="s">
        <v>42</v>
      </c>
      <c r="M289" s="2">
        <f>Table1[[#This Row],[Revenue_INR]]-Table1[[#This Row],[Price_INR]]</f>
        <v>9858</v>
      </c>
      <c r="N289">
        <f>YEAR(Table1[[#This Row],[Date]])</f>
        <v>2024</v>
      </c>
      <c r="O289" s="2">
        <f t="shared" si="16"/>
        <v>1302</v>
      </c>
      <c r="P289" s="7">
        <f t="shared" si="17"/>
        <v>84.126984126984127</v>
      </c>
      <c r="Q289" s="2">
        <f t="shared" si="18"/>
        <v>5022</v>
      </c>
      <c r="R289" s="5" t="str">
        <f t="shared" si="19"/>
        <v>Below Average</v>
      </c>
      <c r="S289" s="5" t="str">
        <f>Table1[[#This Row],[Quarter]]&amp;" - "&amp;Table1[[#This Row],[City]]</f>
        <v>Q2 - Hyderabad</v>
      </c>
    </row>
    <row r="290" spans="1:19" x14ac:dyDescent="0.3">
      <c r="A290" t="s">
        <v>352</v>
      </c>
      <c r="B290" s="1">
        <v>45409</v>
      </c>
      <c r="C290" t="s">
        <v>309</v>
      </c>
      <c r="D290" t="s">
        <v>310</v>
      </c>
      <c r="E290" t="s">
        <v>25</v>
      </c>
      <c r="F290" t="s">
        <v>16</v>
      </c>
      <c r="G290" t="s">
        <v>17</v>
      </c>
      <c r="H290">
        <v>13</v>
      </c>
      <c r="I290">
        <v>2570</v>
      </c>
      <c r="J290">
        <v>0</v>
      </c>
      <c r="K290">
        <v>33410</v>
      </c>
      <c r="L290" t="s">
        <v>42</v>
      </c>
      <c r="M290" s="2">
        <f>Table1[[#This Row],[Revenue_INR]]-Table1[[#This Row],[Price_INR]]</f>
        <v>30840</v>
      </c>
      <c r="N290">
        <f>YEAR(Table1[[#This Row],[Date]])</f>
        <v>2024</v>
      </c>
      <c r="O290" s="2">
        <f t="shared" si="16"/>
        <v>2570</v>
      </c>
      <c r="P290" s="7">
        <f t="shared" si="17"/>
        <v>92.307692307692307</v>
      </c>
      <c r="Q290" s="2">
        <f t="shared" si="18"/>
        <v>0</v>
      </c>
      <c r="R290" s="5" t="str">
        <f t="shared" si="19"/>
        <v>Above Average</v>
      </c>
      <c r="S290" s="5" t="str">
        <f>Table1[[#This Row],[Quarter]]&amp;" - "&amp;Table1[[#This Row],[City]]</f>
        <v>Q2 - Hyderabad</v>
      </c>
    </row>
    <row r="291" spans="1:19" x14ac:dyDescent="0.3">
      <c r="A291" t="s">
        <v>353</v>
      </c>
      <c r="B291" s="1">
        <v>45409</v>
      </c>
      <c r="C291" t="s">
        <v>309</v>
      </c>
      <c r="D291" t="s">
        <v>310</v>
      </c>
      <c r="E291" t="s">
        <v>34</v>
      </c>
      <c r="F291" t="s">
        <v>47</v>
      </c>
      <c r="G291" t="s">
        <v>51</v>
      </c>
      <c r="H291">
        <v>10</v>
      </c>
      <c r="I291">
        <v>6000</v>
      </c>
      <c r="J291">
        <v>25</v>
      </c>
      <c r="K291">
        <v>45000</v>
      </c>
      <c r="L291" t="s">
        <v>45</v>
      </c>
      <c r="M291" s="2">
        <f>Table1[[#This Row],[Revenue_INR]]-Table1[[#This Row],[Price_INR]]</f>
        <v>39000</v>
      </c>
      <c r="N291">
        <f>YEAR(Table1[[#This Row],[Date]])</f>
        <v>2024</v>
      </c>
      <c r="O291" s="2">
        <f t="shared" si="16"/>
        <v>4500</v>
      </c>
      <c r="P291" s="7">
        <f t="shared" si="17"/>
        <v>86.666666666666671</v>
      </c>
      <c r="Q291" s="2">
        <f t="shared" si="18"/>
        <v>15000</v>
      </c>
      <c r="R291" s="5" t="str">
        <f t="shared" si="19"/>
        <v>Above Average</v>
      </c>
      <c r="S291" s="5" t="str">
        <f>Table1[[#This Row],[Quarter]]&amp;" - "&amp;Table1[[#This Row],[City]]</f>
        <v>Q2 - Delhi</v>
      </c>
    </row>
    <row r="292" spans="1:19" x14ac:dyDescent="0.3">
      <c r="A292" t="s">
        <v>354</v>
      </c>
      <c r="B292" s="1">
        <v>45409</v>
      </c>
      <c r="C292" t="s">
        <v>309</v>
      </c>
      <c r="D292" t="s">
        <v>310</v>
      </c>
      <c r="E292" t="s">
        <v>20</v>
      </c>
      <c r="F292" t="s">
        <v>26</v>
      </c>
      <c r="G292" t="s">
        <v>58</v>
      </c>
      <c r="H292">
        <v>15</v>
      </c>
      <c r="I292">
        <v>11080</v>
      </c>
      <c r="J292">
        <v>10</v>
      </c>
      <c r="K292">
        <v>149580</v>
      </c>
      <c r="L292" t="s">
        <v>77</v>
      </c>
      <c r="M292" s="2">
        <f>Table1[[#This Row],[Revenue_INR]]-Table1[[#This Row],[Price_INR]]</f>
        <v>138500</v>
      </c>
      <c r="N292">
        <f>YEAR(Table1[[#This Row],[Date]])</f>
        <v>2024</v>
      </c>
      <c r="O292" s="2">
        <f t="shared" si="16"/>
        <v>9972</v>
      </c>
      <c r="P292" s="7">
        <f t="shared" si="17"/>
        <v>92.592592592592595</v>
      </c>
      <c r="Q292" s="2">
        <f t="shared" si="18"/>
        <v>16620</v>
      </c>
      <c r="R292" s="5" t="str">
        <f t="shared" si="19"/>
        <v>Above Average</v>
      </c>
      <c r="S292" s="5" t="str">
        <f>Table1[[#This Row],[Quarter]]&amp;" - "&amp;Table1[[#This Row],[City]]</f>
        <v>Q2 - Mumbai</v>
      </c>
    </row>
    <row r="293" spans="1:19" x14ac:dyDescent="0.3">
      <c r="A293" t="s">
        <v>355</v>
      </c>
      <c r="B293" s="1">
        <v>45410</v>
      </c>
      <c r="C293" t="s">
        <v>309</v>
      </c>
      <c r="D293" t="s">
        <v>310</v>
      </c>
      <c r="E293" t="s">
        <v>15</v>
      </c>
      <c r="F293" t="s">
        <v>47</v>
      </c>
      <c r="G293" t="s">
        <v>55</v>
      </c>
      <c r="H293">
        <v>2</v>
      </c>
      <c r="I293">
        <v>4040</v>
      </c>
      <c r="J293">
        <v>0</v>
      </c>
      <c r="K293">
        <v>8080</v>
      </c>
      <c r="L293" t="s">
        <v>18</v>
      </c>
      <c r="M293" s="2">
        <f>Table1[[#This Row],[Revenue_INR]]-Table1[[#This Row],[Price_INR]]</f>
        <v>4040</v>
      </c>
      <c r="N293">
        <f>YEAR(Table1[[#This Row],[Date]])</f>
        <v>2024</v>
      </c>
      <c r="O293" s="2">
        <f t="shared" si="16"/>
        <v>4040</v>
      </c>
      <c r="P293" s="7">
        <f t="shared" si="17"/>
        <v>50</v>
      </c>
      <c r="Q293" s="2">
        <f t="shared" si="18"/>
        <v>0</v>
      </c>
      <c r="R293" s="5" t="str">
        <f t="shared" si="19"/>
        <v>Below Average</v>
      </c>
      <c r="S293" s="5" t="str">
        <f>Table1[[#This Row],[Quarter]]&amp;" - "&amp;Table1[[#This Row],[City]]</f>
        <v>Q2 - Kolkata</v>
      </c>
    </row>
    <row r="294" spans="1:19" x14ac:dyDescent="0.3">
      <c r="A294" t="s">
        <v>356</v>
      </c>
      <c r="B294" s="1">
        <v>45411</v>
      </c>
      <c r="C294" t="s">
        <v>309</v>
      </c>
      <c r="D294" t="s">
        <v>310</v>
      </c>
      <c r="E294" t="s">
        <v>20</v>
      </c>
      <c r="F294" t="s">
        <v>26</v>
      </c>
      <c r="G294" t="s">
        <v>58</v>
      </c>
      <c r="H294">
        <v>2</v>
      </c>
      <c r="I294">
        <v>1860</v>
      </c>
      <c r="J294">
        <v>5</v>
      </c>
      <c r="K294">
        <v>3534</v>
      </c>
      <c r="L294" t="s">
        <v>77</v>
      </c>
      <c r="M294" s="2">
        <f>Table1[[#This Row],[Revenue_INR]]-Table1[[#This Row],[Price_INR]]</f>
        <v>1674</v>
      </c>
      <c r="N294">
        <f>YEAR(Table1[[#This Row],[Date]])</f>
        <v>2024</v>
      </c>
      <c r="O294" s="2">
        <f t="shared" si="16"/>
        <v>1767</v>
      </c>
      <c r="P294" s="7">
        <f t="shared" si="17"/>
        <v>47.368421052631575</v>
      </c>
      <c r="Q294" s="2">
        <f t="shared" si="18"/>
        <v>186</v>
      </c>
      <c r="R294" s="5" t="str">
        <f t="shared" si="19"/>
        <v>Below Average</v>
      </c>
      <c r="S294" s="5" t="str">
        <f>Table1[[#This Row],[Quarter]]&amp;" - "&amp;Table1[[#This Row],[City]]</f>
        <v>Q2 - Mumbai</v>
      </c>
    </row>
    <row r="295" spans="1:19" x14ac:dyDescent="0.3">
      <c r="A295" t="s">
        <v>357</v>
      </c>
      <c r="B295" s="1">
        <v>45411</v>
      </c>
      <c r="C295" t="s">
        <v>309</v>
      </c>
      <c r="D295" t="s">
        <v>310</v>
      </c>
      <c r="E295" t="s">
        <v>25</v>
      </c>
      <c r="F295" t="s">
        <v>60</v>
      </c>
      <c r="G295" t="s">
        <v>85</v>
      </c>
      <c r="H295">
        <v>14</v>
      </c>
      <c r="I295">
        <v>1710</v>
      </c>
      <c r="J295">
        <v>30</v>
      </c>
      <c r="K295">
        <v>16758</v>
      </c>
      <c r="L295" t="s">
        <v>28</v>
      </c>
      <c r="M295" s="2">
        <f>Table1[[#This Row],[Revenue_INR]]-Table1[[#This Row],[Price_INR]]</f>
        <v>15048</v>
      </c>
      <c r="N295">
        <f>YEAR(Table1[[#This Row],[Date]])</f>
        <v>2024</v>
      </c>
      <c r="O295" s="2">
        <f t="shared" si="16"/>
        <v>1197</v>
      </c>
      <c r="P295" s="7">
        <f t="shared" si="17"/>
        <v>89.795918367346943</v>
      </c>
      <c r="Q295" s="2">
        <f t="shared" si="18"/>
        <v>7182</v>
      </c>
      <c r="R295" s="5" t="str">
        <f t="shared" si="19"/>
        <v>Below Average</v>
      </c>
      <c r="S295" s="5" t="str">
        <f>Table1[[#This Row],[Quarter]]&amp;" - "&amp;Table1[[#This Row],[City]]</f>
        <v>Q2 - Hyderabad</v>
      </c>
    </row>
    <row r="296" spans="1:19" x14ac:dyDescent="0.3">
      <c r="A296" t="s">
        <v>358</v>
      </c>
      <c r="B296" s="1">
        <v>45411</v>
      </c>
      <c r="C296" t="s">
        <v>309</v>
      </c>
      <c r="D296" t="s">
        <v>310</v>
      </c>
      <c r="E296" t="s">
        <v>34</v>
      </c>
      <c r="F296" t="s">
        <v>31</v>
      </c>
      <c r="G296" t="s">
        <v>32</v>
      </c>
      <c r="H296">
        <v>12</v>
      </c>
      <c r="I296">
        <v>4570</v>
      </c>
      <c r="J296">
        <v>0</v>
      </c>
      <c r="K296">
        <v>54840</v>
      </c>
      <c r="L296" t="s">
        <v>45</v>
      </c>
      <c r="M296" s="2">
        <f>Table1[[#This Row],[Revenue_INR]]-Table1[[#This Row],[Price_INR]]</f>
        <v>50270</v>
      </c>
      <c r="N296">
        <f>YEAR(Table1[[#This Row],[Date]])</f>
        <v>2024</v>
      </c>
      <c r="O296" s="2">
        <f t="shared" si="16"/>
        <v>4570</v>
      </c>
      <c r="P296" s="7">
        <f t="shared" si="17"/>
        <v>91.666666666666657</v>
      </c>
      <c r="Q296" s="2">
        <f t="shared" si="18"/>
        <v>0</v>
      </c>
      <c r="R296" s="5" t="str">
        <f t="shared" si="19"/>
        <v>Above Average</v>
      </c>
      <c r="S296" s="5" t="str">
        <f>Table1[[#This Row],[Quarter]]&amp;" - "&amp;Table1[[#This Row],[City]]</f>
        <v>Q2 - Delhi</v>
      </c>
    </row>
    <row r="297" spans="1:19" x14ac:dyDescent="0.3">
      <c r="A297" t="s">
        <v>359</v>
      </c>
      <c r="B297" s="1">
        <v>45411</v>
      </c>
      <c r="C297" t="s">
        <v>309</v>
      </c>
      <c r="D297" t="s">
        <v>310</v>
      </c>
      <c r="E297" t="s">
        <v>25</v>
      </c>
      <c r="F297" t="s">
        <v>60</v>
      </c>
      <c r="G297" t="s">
        <v>124</v>
      </c>
      <c r="H297">
        <v>12</v>
      </c>
      <c r="I297">
        <v>1790</v>
      </c>
      <c r="J297">
        <v>25</v>
      </c>
      <c r="K297">
        <v>16110</v>
      </c>
      <c r="L297" t="s">
        <v>28</v>
      </c>
      <c r="M297" s="2">
        <f>Table1[[#This Row],[Revenue_INR]]-Table1[[#This Row],[Price_INR]]</f>
        <v>14320</v>
      </c>
      <c r="N297">
        <f>YEAR(Table1[[#This Row],[Date]])</f>
        <v>2024</v>
      </c>
      <c r="O297" s="2">
        <f t="shared" si="16"/>
        <v>1342.5</v>
      </c>
      <c r="P297" s="7">
        <f t="shared" si="17"/>
        <v>88.888888888888886</v>
      </c>
      <c r="Q297" s="2">
        <f t="shared" si="18"/>
        <v>5370</v>
      </c>
      <c r="R297" s="5" t="str">
        <f t="shared" si="19"/>
        <v>Below Average</v>
      </c>
      <c r="S297" s="5" t="str">
        <f>Table1[[#This Row],[Quarter]]&amp;" - "&amp;Table1[[#This Row],[City]]</f>
        <v>Q2 - Hyderabad</v>
      </c>
    </row>
    <row r="298" spans="1:19" x14ac:dyDescent="0.3">
      <c r="A298" t="s">
        <v>360</v>
      </c>
      <c r="B298" s="1">
        <v>45412</v>
      </c>
      <c r="C298" t="s">
        <v>309</v>
      </c>
      <c r="D298" t="s">
        <v>310</v>
      </c>
      <c r="E298" t="s">
        <v>15</v>
      </c>
      <c r="F298" t="s">
        <v>47</v>
      </c>
      <c r="G298" t="s">
        <v>51</v>
      </c>
      <c r="H298">
        <v>1</v>
      </c>
      <c r="I298">
        <v>3290</v>
      </c>
      <c r="J298">
        <v>5</v>
      </c>
      <c r="K298">
        <v>3125.5</v>
      </c>
      <c r="L298" t="s">
        <v>18</v>
      </c>
      <c r="M298" s="2">
        <f>Table1[[#This Row],[Revenue_INR]]-Table1[[#This Row],[Price_INR]]</f>
        <v>-164.5</v>
      </c>
      <c r="N298">
        <f>YEAR(Table1[[#This Row],[Date]])</f>
        <v>2024</v>
      </c>
      <c r="O298" s="2">
        <f t="shared" si="16"/>
        <v>3125.5</v>
      </c>
      <c r="P298" s="7">
        <f t="shared" si="17"/>
        <v>-5.2631578947368416</v>
      </c>
      <c r="Q298" s="2">
        <f t="shared" si="18"/>
        <v>164.5</v>
      </c>
      <c r="R298" s="5" t="str">
        <f t="shared" si="19"/>
        <v>Below Average</v>
      </c>
      <c r="S298" s="5" t="str">
        <f>Table1[[#This Row],[Quarter]]&amp;" - "&amp;Table1[[#This Row],[City]]</f>
        <v>Q2 - Kolkata</v>
      </c>
    </row>
    <row r="299" spans="1:19" x14ac:dyDescent="0.3">
      <c r="A299" t="s">
        <v>361</v>
      </c>
      <c r="B299" s="1">
        <v>45412</v>
      </c>
      <c r="C299" t="s">
        <v>309</v>
      </c>
      <c r="D299" t="s">
        <v>310</v>
      </c>
      <c r="E299" t="s">
        <v>20</v>
      </c>
      <c r="F299" t="s">
        <v>26</v>
      </c>
      <c r="G299" t="s">
        <v>82</v>
      </c>
      <c r="H299">
        <v>7</v>
      </c>
      <c r="I299">
        <v>7830</v>
      </c>
      <c r="J299">
        <v>15</v>
      </c>
      <c r="K299">
        <v>46588.5</v>
      </c>
      <c r="L299" t="s">
        <v>39</v>
      </c>
      <c r="M299" s="2">
        <f>Table1[[#This Row],[Revenue_INR]]-Table1[[#This Row],[Price_INR]]</f>
        <v>38758.5</v>
      </c>
      <c r="N299">
        <f>YEAR(Table1[[#This Row],[Date]])</f>
        <v>2024</v>
      </c>
      <c r="O299" s="2">
        <f t="shared" si="16"/>
        <v>6655.5</v>
      </c>
      <c r="P299" s="7">
        <f t="shared" si="17"/>
        <v>83.193277310924373</v>
      </c>
      <c r="Q299" s="2">
        <f t="shared" si="18"/>
        <v>8221.5</v>
      </c>
      <c r="R299" s="5" t="str">
        <f t="shared" si="19"/>
        <v>Above Average</v>
      </c>
      <c r="S299" s="5" t="str">
        <f>Table1[[#This Row],[Quarter]]&amp;" - "&amp;Table1[[#This Row],[City]]</f>
        <v>Q2 - Mumbai</v>
      </c>
    </row>
    <row r="300" spans="1:19" x14ac:dyDescent="0.3">
      <c r="A300" t="s">
        <v>362</v>
      </c>
      <c r="B300" s="1">
        <v>45413</v>
      </c>
      <c r="C300" t="s">
        <v>363</v>
      </c>
      <c r="D300" t="s">
        <v>310</v>
      </c>
      <c r="E300" t="s">
        <v>20</v>
      </c>
      <c r="F300" t="s">
        <v>26</v>
      </c>
      <c r="G300" t="s">
        <v>82</v>
      </c>
      <c r="H300">
        <v>9</v>
      </c>
      <c r="I300">
        <v>10040</v>
      </c>
      <c r="J300">
        <v>15</v>
      </c>
      <c r="K300">
        <v>76806</v>
      </c>
      <c r="L300" t="s">
        <v>77</v>
      </c>
      <c r="M300" s="2">
        <f>Table1[[#This Row],[Revenue_INR]]-Table1[[#This Row],[Price_INR]]</f>
        <v>66766</v>
      </c>
      <c r="N300">
        <f>YEAR(Table1[[#This Row],[Date]])</f>
        <v>2024</v>
      </c>
      <c r="O300" s="2">
        <f t="shared" si="16"/>
        <v>8534</v>
      </c>
      <c r="P300" s="7">
        <f t="shared" si="17"/>
        <v>86.928104575163403</v>
      </c>
      <c r="Q300" s="2">
        <f t="shared" si="18"/>
        <v>13554</v>
      </c>
      <c r="R300" s="5" t="str">
        <f t="shared" si="19"/>
        <v>Above Average</v>
      </c>
      <c r="S300" s="5" t="str">
        <f>Table1[[#This Row],[Quarter]]&amp;" - "&amp;Table1[[#This Row],[City]]</f>
        <v>Q2 - Mumbai</v>
      </c>
    </row>
    <row r="301" spans="1:19" x14ac:dyDescent="0.3">
      <c r="A301" t="s">
        <v>364</v>
      </c>
      <c r="B301" s="1">
        <v>45413</v>
      </c>
      <c r="C301" t="s">
        <v>363</v>
      </c>
      <c r="D301" t="s">
        <v>310</v>
      </c>
      <c r="E301" t="s">
        <v>25</v>
      </c>
      <c r="F301" t="s">
        <v>60</v>
      </c>
      <c r="G301" t="s">
        <v>61</v>
      </c>
      <c r="H301">
        <v>6</v>
      </c>
      <c r="I301">
        <v>850</v>
      </c>
      <c r="J301">
        <v>30</v>
      </c>
      <c r="K301">
        <v>3570</v>
      </c>
      <c r="L301" t="s">
        <v>66</v>
      </c>
      <c r="M301" s="2">
        <f>Table1[[#This Row],[Revenue_INR]]-Table1[[#This Row],[Price_INR]]</f>
        <v>2720</v>
      </c>
      <c r="N301">
        <f>YEAR(Table1[[#This Row],[Date]])</f>
        <v>2024</v>
      </c>
      <c r="O301" s="2">
        <f t="shared" si="16"/>
        <v>595</v>
      </c>
      <c r="P301" s="7">
        <f t="shared" si="17"/>
        <v>76.19047619047619</v>
      </c>
      <c r="Q301" s="2">
        <f t="shared" si="18"/>
        <v>1530</v>
      </c>
      <c r="R301" s="5" t="str">
        <f t="shared" si="19"/>
        <v>Below Average</v>
      </c>
      <c r="S301" s="5" t="str">
        <f>Table1[[#This Row],[Quarter]]&amp;" - "&amp;Table1[[#This Row],[City]]</f>
        <v>Q2 - Hyderabad</v>
      </c>
    </row>
    <row r="302" spans="1:19" x14ac:dyDescent="0.3">
      <c r="A302" t="s">
        <v>365</v>
      </c>
      <c r="B302" s="1">
        <v>45414</v>
      </c>
      <c r="C302" t="s">
        <v>363</v>
      </c>
      <c r="D302" t="s">
        <v>310</v>
      </c>
      <c r="E302" t="s">
        <v>25</v>
      </c>
      <c r="F302" t="s">
        <v>16</v>
      </c>
      <c r="G302" t="s">
        <v>41</v>
      </c>
      <c r="H302">
        <v>1</v>
      </c>
      <c r="I302">
        <v>1100</v>
      </c>
      <c r="J302">
        <v>30</v>
      </c>
      <c r="K302">
        <v>770</v>
      </c>
      <c r="L302" t="s">
        <v>28</v>
      </c>
      <c r="M302" s="2">
        <f>Table1[[#This Row],[Revenue_INR]]-Table1[[#This Row],[Price_INR]]</f>
        <v>-330</v>
      </c>
      <c r="N302">
        <f>YEAR(Table1[[#This Row],[Date]])</f>
        <v>2024</v>
      </c>
      <c r="O302" s="2">
        <f t="shared" si="16"/>
        <v>770</v>
      </c>
      <c r="P302" s="7">
        <f t="shared" si="17"/>
        <v>-42.857142857142854</v>
      </c>
      <c r="Q302" s="2">
        <f t="shared" si="18"/>
        <v>330</v>
      </c>
      <c r="R302" s="5" t="str">
        <f t="shared" si="19"/>
        <v>Below Average</v>
      </c>
      <c r="S302" s="5" t="str">
        <f>Table1[[#This Row],[Quarter]]&amp;" - "&amp;Table1[[#This Row],[City]]</f>
        <v>Q2 - Hyderabad</v>
      </c>
    </row>
    <row r="303" spans="1:19" x14ac:dyDescent="0.3">
      <c r="A303" t="s">
        <v>366</v>
      </c>
      <c r="B303" s="1">
        <v>45414</v>
      </c>
      <c r="C303" t="s">
        <v>363</v>
      </c>
      <c r="D303" t="s">
        <v>310</v>
      </c>
      <c r="E303" t="s">
        <v>34</v>
      </c>
      <c r="F303" t="s">
        <v>47</v>
      </c>
      <c r="G303" t="s">
        <v>102</v>
      </c>
      <c r="H303">
        <v>11</v>
      </c>
      <c r="I303">
        <v>2850</v>
      </c>
      <c r="J303">
        <v>20</v>
      </c>
      <c r="K303">
        <v>25080</v>
      </c>
      <c r="L303" t="s">
        <v>36</v>
      </c>
      <c r="M303" s="2">
        <f>Table1[[#This Row],[Revenue_INR]]-Table1[[#This Row],[Price_INR]]</f>
        <v>22230</v>
      </c>
      <c r="N303">
        <f>YEAR(Table1[[#This Row],[Date]])</f>
        <v>2024</v>
      </c>
      <c r="O303" s="2">
        <f t="shared" si="16"/>
        <v>2280</v>
      </c>
      <c r="P303" s="7">
        <f t="shared" si="17"/>
        <v>88.63636363636364</v>
      </c>
      <c r="Q303" s="2">
        <f t="shared" si="18"/>
        <v>6270</v>
      </c>
      <c r="R303" s="5" t="str">
        <f t="shared" si="19"/>
        <v>Above Average</v>
      </c>
      <c r="S303" s="5" t="str">
        <f>Table1[[#This Row],[Quarter]]&amp;" - "&amp;Table1[[#This Row],[City]]</f>
        <v>Q2 - Delhi</v>
      </c>
    </row>
    <row r="304" spans="1:19" x14ac:dyDescent="0.3">
      <c r="A304" t="s">
        <v>367</v>
      </c>
      <c r="B304" s="1">
        <v>45414</v>
      </c>
      <c r="C304" t="s">
        <v>363</v>
      </c>
      <c r="D304" t="s">
        <v>310</v>
      </c>
      <c r="E304" t="s">
        <v>34</v>
      </c>
      <c r="F304" t="s">
        <v>47</v>
      </c>
      <c r="G304" t="s">
        <v>55</v>
      </c>
      <c r="H304">
        <v>7</v>
      </c>
      <c r="I304">
        <v>4170</v>
      </c>
      <c r="J304">
        <v>25</v>
      </c>
      <c r="K304">
        <v>21892.5</v>
      </c>
      <c r="L304" t="s">
        <v>45</v>
      </c>
      <c r="M304" s="2">
        <f>Table1[[#This Row],[Revenue_INR]]-Table1[[#This Row],[Price_INR]]</f>
        <v>17722.5</v>
      </c>
      <c r="N304">
        <f>YEAR(Table1[[#This Row],[Date]])</f>
        <v>2024</v>
      </c>
      <c r="O304" s="2">
        <f t="shared" si="16"/>
        <v>3127.5</v>
      </c>
      <c r="P304" s="7">
        <f t="shared" si="17"/>
        <v>80.952380952380949</v>
      </c>
      <c r="Q304" s="2">
        <f t="shared" si="18"/>
        <v>7297.5</v>
      </c>
      <c r="R304" s="5" t="str">
        <f t="shared" si="19"/>
        <v>Below Average</v>
      </c>
      <c r="S304" s="5" t="str">
        <f>Table1[[#This Row],[Quarter]]&amp;" - "&amp;Table1[[#This Row],[City]]</f>
        <v>Q2 - Delhi</v>
      </c>
    </row>
    <row r="305" spans="1:19" x14ac:dyDescent="0.3">
      <c r="A305" t="s">
        <v>368</v>
      </c>
      <c r="B305" s="1">
        <v>45415</v>
      </c>
      <c r="C305" t="s">
        <v>363</v>
      </c>
      <c r="D305" t="s">
        <v>310</v>
      </c>
      <c r="E305" t="s">
        <v>15</v>
      </c>
      <c r="F305" t="s">
        <v>21</v>
      </c>
      <c r="G305" t="s">
        <v>75</v>
      </c>
      <c r="H305">
        <v>9</v>
      </c>
      <c r="I305">
        <v>3280</v>
      </c>
      <c r="J305">
        <v>5</v>
      </c>
      <c r="K305">
        <v>28044</v>
      </c>
      <c r="L305" t="s">
        <v>92</v>
      </c>
      <c r="M305" s="2">
        <f>Table1[[#This Row],[Revenue_INR]]-Table1[[#This Row],[Price_INR]]</f>
        <v>24764</v>
      </c>
      <c r="N305">
        <f>YEAR(Table1[[#This Row],[Date]])</f>
        <v>2024</v>
      </c>
      <c r="O305" s="2">
        <f t="shared" si="16"/>
        <v>3116</v>
      </c>
      <c r="P305" s="7">
        <f t="shared" si="17"/>
        <v>88.304093567251456</v>
      </c>
      <c r="Q305" s="2">
        <f t="shared" si="18"/>
        <v>1476</v>
      </c>
      <c r="R305" s="5" t="str">
        <f t="shared" si="19"/>
        <v>Above Average</v>
      </c>
      <c r="S305" s="5" t="str">
        <f>Table1[[#This Row],[Quarter]]&amp;" - "&amp;Table1[[#This Row],[City]]</f>
        <v>Q2 - Kolkata</v>
      </c>
    </row>
    <row r="306" spans="1:19" x14ac:dyDescent="0.3">
      <c r="A306" t="s">
        <v>369</v>
      </c>
      <c r="B306" s="1">
        <v>45415</v>
      </c>
      <c r="C306" t="s">
        <v>363</v>
      </c>
      <c r="D306" t="s">
        <v>310</v>
      </c>
      <c r="E306" t="s">
        <v>20</v>
      </c>
      <c r="F306" t="s">
        <v>60</v>
      </c>
      <c r="G306" t="s">
        <v>124</v>
      </c>
      <c r="H306">
        <v>15</v>
      </c>
      <c r="I306">
        <v>1770</v>
      </c>
      <c r="J306">
        <v>0</v>
      </c>
      <c r="K306">
        <v>26550</v>
      </c>
      <c r="L306" t="s">
        <v>39</v>
      </c>
      <c r="M306" s="2">
        <f>Table1[[#This Row],[Revenue_INR]]-Table1[[#This Row],[Price_INR]]</f>
        <v>24780</v>
      </c>
      <c r="N306">
        <f>YEAR(Table1[[#This Row],[Date]])</f>
        <v>2024</v>
      </c>
      <c r="O306" s="2">
        <f t="shared" si="16"/>
        <v>1770</v>
      </c>
      <c r="P306" s="7">
        <f t="shared" si="17"/>
        <v>93.333333333333329</v>
      </c>
      <c r="Q306" s="2">
        <f t="shared" si="18"/>
        <v>0</v>
      </c>
      <c r="R306" s="5" t="str">
        <f t="shared" si="19"/>
        <v>Above Average</v>
      </c>
      <c r="S306" s="5" t="str">
        <f>Table1[[#This Row],[Quarter]]&amp;" - "&amp;Table1[[#This Row],[City]]</f>
        <v>Q2 - Mumbai</v>
      </c>
    </row>
    <row r="307" spans="1:19" x14ac:dyDescent="0.3">
      <c r="A307" t="s">
        <v>370</v>
      </c>
      <c r="B307" s="1">
        <v>45415</v>
      </c>
      <c r="C307" t="s">
        <v>363</v>
      </c>
      <c r="D307" t="s">
        <v>310</v>
      </c>
      <c r="E307" t="s">
        <v>15</v>
      </c>
      <c r="F307" t="s">
        <v>60</v>
      </c>
      <c r="G307" t="s">
        <v>61</v>
      </c>
      <c r="H307">
        <v>9</v>
      </c>
      <c r="I307">
        <v>2390</v>
      </c>
      <c r="J307">
        <v>15</v>
      </c>
      <c r="K307">
        <v>18283.5</v>
      </c>
      <c r="L307" t="s">
        <v>92</v>
      </c>
      <c r="M307" s="2">
        <f>Table1[[#This Row],[Revenue_INR]]-Table1[[#This Row],[Price_INR]]</f>
        <v>15893.5</v>
      </c>
      <c r="N307">
        <f>YEAR(Table1[[#This Row],[Date]])</f>
        <v>2024</v>
      </c>
      <c r="O307" s="2">
        <f t="shared" si="16"/>
        <v>2031.5</v>
      </c>
      <c r="P307" s="7">
        <f t="shared" si="17"/>
        <v>86.928104575163403</v>
      </c>
      <c r="Q307" s="2">
        <f t="shared" si="18"/>
        <v>3226.5</v>
      </c>
      <c r="R307" s="5" t="str">
        <f t="shared" si="19"/>
        <v>Below Average</v>
      </c>
      <c r="S307" s="5" t="str">
        <f>Table1[[#This Row],[Quarter]]&amp;" - "&amp;Table1[[#This Row],[City]]</f>
        <v>Q2 - Kolkata</v>
      </c>
    </row>
    <row r="308" spans="1:19" x14ac:dyDescent="0.3">
      <c r="A308" t="s">
        <v>371</v>
      </c>
      <c r="B308" s="1">
        <v>45415</v>
      </c>
      <c r="C308" t="s">
        <v>363</v>
      </c>
      <c r="D308" t="s">
        <v>310</v>
      </c>
      <c r="E308" t="s">
        <v>34</v>
      </c>
      <c r="F308" t="s">
        <v>31</v>
      </c>
      <c r="G308" t="s">
        <v>38</v>
      </c>
      <c r="H308">
        <v>9</v>
      </c>
      <c r="I308">
        <v>1940</v>
      </c>
      <c r="J308">
        <v>30</v>
      </c>
      <c r="K308">
        <v>12222</v>
      </c>
      <c r="L308" t="s">
        <v>45</v>
      </c>
      <c r="M308" s="2">
        <f>Table1[[#This Row],[Revenue_INR]]-Table1[[#This Row],[Price_INR]]</f>
        <v>10282</v>
      </c>
      <c r="N308">
        <f>YEAR(Table1[[#This Row],[Date]])</f>
        <v>2024</v>
      </c>
      <c r="O308" s="2">
        <f t="shared" si="16"/>
        <v>1358</v>
      </c>
      <c r="P308" s="7">
        <f t="shared" si="17"/>
        <v>84.126984126984127</v>
      </c>
      <c r="Q308" s="2">
        <f t="shared" si="18"/>
        <v>5238</v>
      </c>
      <c r="R308" s="5" t="str">
        <f t="shared" si="19"/>
        <v>Below Average</v>
      </c>
      <c r="S308" s="5" t="str">
        <f>Table1[[#This Row],[Quarter]]&amp;" - "&amp;Table1[[#This Row],[City]]</f>
        <v>Q2 - Delhi</v>
      </c>
    </row>
    <row r="309" spans="1:19" x14ac:dyDescent="0.3">
      <c r="A309" t="s">
        <v>372</v>
      </c>
      <c r="B309" s="1">
        <v>45416</v>
      </c>
      <c r="C309" t="s">
        <v>363</v>
      </c>
      <c r="D309" t="s">
        <v>310</v>
      </c>
      <c r="E309" t="s">
        <v>25</v>
      </c>
      <c r="F309" t="s">
        <v>21</v>
      </c>
      <c r="G309" t="s">
        <v>75</v>
      </c>
      <c r="H309">
        <v>13</v>
      </c>
      <c r="I309">
        <v>2820</v>
      </c>
      <c r="J309">
        <v>15</v>
      </c>
      <c r="K309">
        <v>31161</v>
      </c>
      <c r="L309" t="s">
        <v>66</v>
      </c>
      <c r="M309" s="2">
        <f>Table1[[#This Row],[Revenue_INR]]-Table1[[#This Row],[Price_INR]]</f>
        <v>28341</v>
      </c>
      <c r="N309">
        <f>YEAR(Table1[[#This Row],[Date]])</f>
        <v>2024</v>
      </c>
      <c r="O309" s="2">
        <f t="shared" si="16"/>
        <v>2397</v>
      </c>
      <c r="P309" s="7">
        <f t="shared" si="17"/>
        <v>90.950226244343895</v>
      </c>
      <c r="Q309" s="2">
        <f t="shared" si="18"/>
        <v>5499</v>
      </c>
      <c r="R309" s="5" t="str">
        <f t="shared" si="19"/>
        <v>Above Average</v>
      </c>
      <c r="S309" s="5" t="str">
        <f>Table1[[#This Row],[Quarter]]&amp;" - "&amp;Table1[[#This Row],[City]]</f>
        <v>Q2 - Hyderabad</v>
      </c>
    </row>
    <row r="310" spans="1:19" x14ac:dyDescent="0.3">
      <c r="A310" t="s">
        <v>373</v>
      </c>
      <c r="B310" s="1">
        <v>45416</v>
      </c>
      <c r="C310" t="s">
        <v>363</v>
      </c>
      <c r="D310" t="s">
        <v>310</v>
      </c>
      <c r="E310" t="s">
        <v>34</v>
      </c>
      <c r="F310" t="s">
        <v>47</v>
      </c>
      <c r="G310" t="s">
        <v>102</v>
      </c>
      <c r="H310">
        <v>12</v>
      </c>
      <c r="I310">
        <v>7450</v>
      </c>
      <c r="J310">
        <v>20</v>
      </c>
      <c r="K310">
        <v>71520</v>
      </c>
      <c r="L310" t="s">
        <v>36</v>
      </c>
      <c r="M310" s="2">
        <f>Table1[[#This Row],[Revenue_INR]]-Table1[[#This Row],[Price_INR]]</f>
        <v>64070</v>
      </c>
      <c r="N310">
        <f>YEAR(Table1[[#This Row],[Date]])</f>
        <v>2024</v>
      </c>
      <c r="O310" s="2">
        <f t="shared" si="16"/>
        <v>5960</v>
      </c>
      <c r="P310" s="7">
        <f t="shared" si="17"/>
        <v>89.583333333333343</v>
      </c>
      <c r="Q310" s="2">
        <f t="shared" si="18"/>
        <v>17880</v>
      </c>
      <c r="R310" s="5" t="str">
        <f t="shared" si="19"/>
        <v>Above Average</v>
      </c>
      <c r="S310" s="5" t="str">
        <f>Table1[[#This Row],[Quarter]]&amp;" - "&amp;Table1[[#This Row],[City]]</f>
        <v>Q2 - Delhi</v>
      </c>
    </row>
    <row r="311" spans="1:19" x14ac:dyDescent="0.3">
      <c r="A311" t="s">
        <v>374</v>
      </c>
      <c r="B311" s="1">
        <v>45416</v>
      </c>
      <c r="C311" t="s">
        <v>363</v>
      </c>
      <c r="D311" t="s">
        <v>310</v>
      </c>
      <c r="E311" t="s">
        <v>25</v>
      </c>
      <c r="F311" t="s">
        <v>26</v>
      </c>
      <c r="G311" t="s">
        <v>82</v>
      </c>
      <c r="H311">
        <v>7</v>
      </c>
      <c r="I311">
        <v>8940</v>
      </c>
      <c r="J311">
        <v>0</v>
      </c>
      <c r="K311">
        <v>62580</v>
      </c>
      <c r="L311" t="s">
        <v>42</v>
      </c>
      <c r="M311" s="2">
        <f>Table1[[#This Row],[Revenue_INR]]-Table1[[#This Row],[Price_INR]]</f>
        <v>53640</v>
      </c>
      <c r="N311">
        <f>YEAR(Table1[[#This Row],[Date]])</f>
        <v>2024</v>
      </c>
      <c r="O311" s="2">
        <f t="shared" si="16"/>
        <v>8940</v>
      </c>
      <c r="P311" s="7">
        <f t="shared" si="17"/>
        <v>85.714285714285708</v>
      </c>
      <c r="Q311" s="2">
        <f t="shared" si="18"/>
        <v>0</v>
      </c>
      <c r="R311" s="5" t="str">
        <f t="shared" si="19"/>
        <v>Above Average</v>
      </c>
      <c r="S311" s="5" t="str">
        <f>Table1[[#This Row],[Quarter]]&amp;" - "&amp;Table1[[#This Row],[City]]</f>
        <v>Q2 - Hyderabad</v>
      </c>
    </row>
    <row r="312" spans="1:19" x14ac:dyDescent="0.3">
      <c r="A312" t="s">
        <v>375</v>
      </c>
      <c r="B312" s="1">
        <v>45416</v>
      </c>
      <c r="C312" t="s">
        <v>363</v>
      </c>
      <c r="D312" t="s">
        <v>310</v>
      </c>
      <c r="E312" t="s">
        <v>34</v>
      </c>
      <c r="F312" t="s">
        <v>21</v>
      </c>
      <c r="G312" t="s">
        <v>75</v>
      </c>
      <c r="H312">
        <v>10</v>
      </c>
      <c r="I312">
        <v>2460</v>
      </c>
      <c r="J312">
        <v>5</v>
      </c>
      <c r="K312">
        <v>23370</v>
      </c>
      <c r="L312" t="s">
        <v>45</v>
      </c>
      <c r="M312" s="2">
        <f>Table1[[#This Row],[Revenue_INR]]-Table1[[#This Row],[Price_INR]]</f>
        <v>20910</v>
      </c>
      <c r="N312">
        <f>YEAR(Table1[[#This Row],[Date]])</f>
        <v>2024</v>
      </c>
      <c r="O312" s="2">
        <f t="shared" si="16"/>
        <v>2337</v>
      </c>
      <c r="P312" s="7">
        <f t="shared" si="17"/>
        <v>89.473684210526315</v>
      </c>
      <c r="Q312" s="2">
        <f t="shared" si="18"/>
        <v>1230</v>
      </c>
      <c r="R312" s="5" t="str">
        <f t="shared" si="19"/>
        <v>Below Average</v>
      </c>
      <c r="S312" s="5" t="str">
        <f>Table1[[#This Row],[Quarter]]&amp;" - "&amp;Table1[[#This Row],[City]]</f>
        <v>Q2 - Delhi</v>
      </c>
    </row>
    <row r="313" spans="1:19" x14ac:dyDescent="0.3">
      <c r="A313" t="s">
        <v>376</v>
      </c>
      <c r="B313" s="1">
        <v>45416</v>
      </c>
      <c r="C313" t="s">
        <v>363</v>
      </c>
      <c r="D313" t="s">
        <v>310</v>
      </c>
      <c r="E313" t="s">
        <v>34</v>
      </c>
      <c r="F313" t="s">
        <v>16</v>
      </c>
      <c r="G313" t="s">
        <v>41</v>
      </c>
      <c r="H313">
        <v>10</v>
      </c>
      <c r="I313">
        <v>2910</v>
      </c>
      <c r="J313">
        <v>15</v>
      </c>
      <c r="K313">
        <v>24735</v>
      </c>
      <c r="L313" t="s">
        <v>49</v>
      </c>
      <c r="M313" s="2">
        <f>Table1[[#This Row],[Revenue_INR]]-Table1[[#This Row],[Price_INR]]</f>
        <v>21825</v>
      </c>
      <c r="N313">
        <f>YEAR(Table1[[#This Row],[Date]])</f>
        <v>2024</v>
      </c>
      <c r="O313" s="2">
        <f t="shared" si="16"/>
        <v>2473.5</v>
      </c>
      <c r="P313" s="7">
        <f t="shared" si="17"/>
        <v>88.235294117647058</v>
      </c>
      <c r="Q313" s="2">
        <f t="shared" si="18"/>
        <v>4365</v>
      </c>
      <c r="R313" s="5" t="str">
        <f t="shared" si="19"/>
        <v>Above Average</v>
      </c>
      <c r="S313" s="5" t="str">
        <f>Table1[[#This Row],[Quarter]]&amp;" - "&amp;Table1[[#This Row],[City]]</f>
        <v>Q2 - Delhi</v>
      </c>
    </row>
    <row r="314" spans="1:19" x14ac:dyDescent="0.3">
      <c r="A314" t="s">
        <v>377</v>
      </c>
      <c r="B314" s="1">
        <v>45417</v>
      </c>
      <c r="C314" t="s">
        <v>363</v>
      </c>
      <c r="D314" t="s">
        <v>310</v>
      </c>
      <c r="E314" t="s">
        <v>20</v>
      </c>
      <c r="F314" t="s">
        <v>21</v>
      </c>
      <c r="G314" t="s">
        <v>75</v>
      </c>
      <c r="H314">
        <v>14</v>
      </c>
      <c r="I314">
        <v>920</v>
      </c>
      <c r="J314">
        <v>0</v>
      </c>
      <c r="K314">
        <v>12880</v>
      </c>
      <c r="L314" t="s">
        <v>39</v>
      </c>
      <c r="M314" s="2">
        <f>Table1[[#This Row],[Revenue_INR]]-Table1[[#This Row],[Price_INR]]</f>
        <v>11960</v>
      </c>
      <c r="N314">
        <f>YEAR(Table1[[#This Row],[Date]])</f>
        <v>2024</v>
      </c>
      <c r="O314" s="2">
        <f t="shared" si="16"/>
        <v>920</v>
      </c>
      <c r="P314" s="7">
        <f t="shared" si="17"/>
        <v>92.857142857142861</v>
      </c>
      <c r="Q314" s="2">
        <f t="shared" si="18"/>
        <v>0</v>
      </c>
      <c r="R314" s="5" t="str">
        <f t="shared" si="19"/>
        <v>Below Average</v>
      </c>
      <c r="S314" s="5" t="str">
        <f>Table1[[#This Row],[Quarter]]&amp;" - "&amp;Table1[[#This Row],[City]]</f>
        <v>Q2 - Mumbai</v>
      </c>
    </row>
    <row r="315" spans="1:19" x14ac:dyDescent="0.3">
      <c r="A315" t="s">
        <v>378</v>
      </c>
      <c r="B315" s="1">
        <v>45417</v>
      </c>
      <c r="C315" t="s">
        <v>363</v>
      </c>
      <c r="D315" t="s">
        <v>310</v>
      </c>
      <c r="E315" t="s">
        <v>20</v>
      </c>
      <c r="F315" t="s">
        <v>47</v>
      </c>
      <c r="G315" t="s">
        <v>48</v>
      </c>
      <c r="H315">
        <v>5</v>
      </c>
      <c r="I315">
        <v>6490</v>
      </c>
      <c r="J315">
        <v>15</v>
      </c>
      <c r="K315">
        <v>27582.5</v>
      </c>
      <c r="L315" t="s">
        <v>77</v>
      </c>
      <c r="M315" s="2">
        <f>Table1[[#This Row],[Revenue_INR]]-Table1[[#This Row],[Price_INR]]</f>
        <v>21092.5</v>
      </c>
      <c r="N315">
        <f>YEAR(Table1[[#This Row],[Date]])</f>
        <v>2024</v>
      </c>
      <c r="O315" s="2">
        <f t="shared" si="16"/>
        <v>5516.5</v>
      </c>
      <c r="P315" s="7">
        <f t="shared" si="17"/>
        <v>76.470588235294116</v>
      </c>
      <c r="Q315" s="2">
        <f t="shared" si="18"/>
        <v>4867.5</v>
      </c>
      <c r="R315" s="5" t="str">
        <f t="shared" si="19"/>
        <v>Above Average</v>
      </c>
      <c r="S315" s="5" t="str">
        <f>Table1[[#This Row],[Quarter]]&amp;" - "&amp;Table1[[#This Row],[City]]</f>
        <v>Q2 - Mumbai</v>
      </c>
    </row>
    <row r="316" spans="1:19" x14ac:dyDescent="0.3">
      <c r="A316" t="s">
        <v>379</v>
      </c>
      <c r="B316" s="1">
        <v>45417</v>
      </c>
      <c r="C316" t="s">
        <v>363</v>
      </c>
      <c r="D316" t="s">
        <v>310</v>
      </c>
      <c r="E316" t="s">
        <v>25</v>
      </c>
      <c r="F316" t="s">
        <v>21</v>
      </c>
      <c r="G316" t="s">
        <v>94</v>
      </c>
      <c r="H316">
        <v>10</v>
      </c>
      <c r="I316">
        <v>1420</v>
      </c>
      <c r="J316">
        <v>30</v>
      </c>
      <c r="K316">
        <v>9940</v>
      </c>
      <c r="L316" t="s">
        <v>28</v>
      </c>
      <c r="M316" s="2">
        <f>Table1[[#This Row],[Revenue_INR]]-Table1[[#This Row],[Price_INR]]</f>
        <v>8520</v>
      </c>
      <c r="N316">
        <f>YEAR(Table1[[#This Row],[Date]])</f>
        <v>2024</v>
      </c>
      <c r="O316" s="2">
        <f t="shared" si="16"/>
        <v>994</v>
      </c>
      <c r="P316" s="7">
        <f t="shared" si="17"/>
        <v>85.714285714285708</v>
      </c>
      <c r="Q316" s="2">
        <f t="shared" si="18"/>
        <v>4260</v>
      </c>
      <c r="R316" s="5" t="str">
        <f t="shared" si="19"/>
        <v>Below Average</v>
      </c>
      <c r="S316" s="5" t="str">
        <f>Table1[[#This Row],[Quarter]]&amp;" - "&amp;Table1[[#This Row],[City]]</f>
        <v>Q2 - Hyderabad</v>
      </c>
    </row>
    <row r="317" spans="1:19" x14ac:dyDescent="0.3">
      <c r="A317" t="s">
        <v>380</v>
      </c>
      <c r="B317" s="1">
        <v>45417</v>
      </c>
      <c r="C317" t="s">
        <v>363</v>
      </c>
      <c r="D317" t="s">
        <v>310</v>
      </c>
      <c r="E317" t="s">
        <v>20</v>
      </c>
      <c r="F317" t="s">
        <v>26</v>
      </c>
      <c r="G317" t="s">
        <v>80</v>
      </c>
      <c r="H317">
        <v>14</v>
      </c>
      <c r="I317">
        <v>6690</v>
      </c>
      <c r="J317">
        <v>0</v>
      </c>
      <c r="K317">
        <v>93660</v>
      </c>
      <c r="L317" t="s">
        <v>77</v>
      </c>
      <c r="M317" s="2">
        <f>Table1[[#This Row],[Revenue_INR]]-Table1[[#This Row],[Price_INR]]</f>
        <v>86970</v>
      </c>
      <c r="N317">
        <f>YEAR(Table1[[#This Row],[Date]])</f>
        <v>2024</v>
      </c>
      <c r="O317" s="2">
        <f t="shared" si="16"/>
        <v>6690</v>
      </c>
      <c r="P317" s="7">
        <f t="shared" si="17"/>
        <v>92.857142857142861</v>
      </c>
      <c r="Q317" s="2">
        <f t="shared" si="18"/>
        <v>0</v>
      </c>
      <c r="R317" s="5" t="str">
        <f t="shared" si="19"/>
        <v>Above Average</v>
      </c>
      <c r="S317" s="5" t="str">
        <f>Table1[[#This Row],[Quarter]]&amp;" - "&amp;Table1[[#This Row],[City]]</f>
        <v>Q2 - Mumbai</v>
      </c>
    </row>
    <row r="318" spans="1:19" x14ac:dyDescent="0.3">
      <c r="A318" t="s">
        <v>381</v>
      </c>
      <c r="B318" s="1">
        <v>45418</v>
      </c>
      <c r="C318" t="s">
        <v>363</v>
      </c>
      <c r="D318" t="s">
        <v>310</v>
      </c>
      <c r="E318" t="s">
        <v>15</v>
      </c>
      <c r="F318" t="s">
        <v>16</v>
      </c>
      <c r="G318" t="s">
        <v>44</v>
      </c>
      <c r="H318">
        <v>12</v>
      </c>
      <c r="I318">
        <v>1810</v>
      </c>
      <c r="J318">
        <v>20</v>
      </c>
      <c r="K318">
        <v>17376</v>
      </c>
      <c r="L318" t="s">
        <v>92</v>
      </c>
      <c r="M318" s="2">
        <f>Table1[[#This Row],[Revenue_INR]]-Table1[[#This Row],[Price_INR]]</f>
        <v>15566</v>
      </c>
      <c r="N318">
        <f>YEAR(Table1[[#This Row],[Date]])</f>
        <v>2024</v>
      </c>
      <c r="O318" s="2">
        <f t="shared" si="16"/>
        <v>1448</v>
      </c>
      <c r="P318" s="7">
        <f t="shared" si="17"/>
        <v>89.583333333333343</v>
      </c>
      <c r="Q318" s="2">
        <f t="shared" si="18"/>
        <v>4344</v>
      </c>
      <c r="R318" s="5" t="str">
        <f t="shared" si="19"/>
        <v>Below Average</v>
      </c>
      <c r="S318" s="5" t="str">
        <f>Table1[[#This Row],[Quarter]]&amp;" - "&amp;Table1[[#This Row],[City]]</f>
        <v>Q2 - Kolkata</v>
      </c>
    </row>
    <row r="319" spans="1:19" x14ac:dyDescent="0.3">
      <c r="A319" t="s">
        <v>382</v>
      </c>
      <c r="B319" s="1">
        <v>45419</v>
      </c>
      <c r="C319" t="s">
        <v>363</v>
      </c>
      <c r="D319" t="s">
        <v>310</v>
      </c>
      <c r="E319" t="s">
        <v>34</v>
      </c>
      <c r="F319" t="s">
        <v>26</v>
      </c>
      <c r="G319" t="s">
        <v>82</v>
      </c>
      <c r="H319">
        <v>1</v>
      </c>
      <c r="I319">
        <v>1710</v>
      </c>
      <c r="J319">
        <v>25</v>
      </c>
      <c r="K319">
        <v>1282.5</v>
      </c>
      <c r="L319" t="s">
        <v>45</v>
      </c>
      <c r="M319" s="2">
        <f>Table1[[#This Row],[Revenue_INR]]-Table1[[#This Row],[Price_INR]]</f>
        <v>-427.5</v>
      </c>
      <c r="N319">
        <f>YEAR(Table1[[#This Row],[Date]])</f>
        <v>2024</v>
      </c>
      <c r="O319" s="2">
        <f t="shared" si="16"/>
        <v>1282.5</v>
      </c>
      <c r="P319" s="7">
        <f t="shared" si="17"/>
        <v>-33.333333333333329</v>
      </c>
      <c r="Q319" s="2">
        <f t="shared" si="18"/>
        <v>427.5</v>
      </c>
      <c r="R319" s="5" t="str">
        <f t="shared" si="19"/>
        <v>Below Average</v>
      </c>
      <c r="S319" s="5" t="str">
        <f>Table1[[#This Row],[Quarter]]&amp;" - "&amp;Table1[[#This Row],[City]]</f>
        <v>Q2 - Delhi</v>
      </c>
    </row>
    <row r="320" spans="1:19" x14ac:dyDescent="0.3">
      <c r="A320" t="s">
        <v>383</v>
      </c>
      <c r="B320" s="1">
        <v>45419</v>
      </c>
      <c r="C320" t="s">
        <v>363</v>
      </c>
      <c r="D320" t="s">
        <v>310</v>
      </c>
      <c r="E320" t="s">
        <v>15</v>
      </c>
      <c r="F320" t="s">
        <v>31</v>
      </c>
      <c r="G320" t="s">
        <v>32</v>
      </c>
      <c r="H320">
        <v>11</v>
      </c>
      <c r="I320">
        <v>2240</v>
      </c>
      <c r="J320">
        <v>0</v>
      </c>
      <c r="K320">
        <v>24640</v>
      </c>
      <c r="L320" t="s">
        <v>18</v>
      </c>
      <c r="M320" s="2">
        <f>Table1[[#This Row],[Revenue_INR]]-Table1[[#This Row],[Price_INR]]</f>
        <v>22400</v>
      </c>
      <c r="N320">
        <f>YEAR(Table1[[#This Row],[Date]])</f>
        <v>2024</v>
      </c>
      <c r="O320" s="2">
        <f t="shared" si="16"/>
        <v>2240</v>
      </c>
      <c r="P320" s="7">
        <f t="shared" si="17"/>
        <v>90.909090909090907</v>
      </c>
      <c r="Q320" s="2">
        <f t="shared" si="18"/>
        <v>0</v>
      </c>
      <c r="R320" s="5" t="str">
        <f t="shared" si="19"/>
        <v>Above Average</v>
      </c>
      <c r="S320" s="5" t="str">
        <f>Table1[[#This Row],[Quarter]]&amp;" - "&amp;Table1[[#This Row],[City]]</f>
        <v>Q2 - Kolkata</v>
      </c>
    </row>
    <row r="321" spans="1:19" x14ac:dyDescent="0.3">
      <c r="A321" t="s">
        <v>384</v>
      </c>
      <c r="B321" s="1">
        <v>45419</v>
      </c>
      <c r="C321" t="s">
        <v>363</v>
      </c>
      <c r="D321" t="s">
        <v>310</v>
      </c>
      <c r="E321" t="s">
        <v>25</v>
      </c>
      <c r="F321" t="s">
        <v>26</v>
      </c>
      <c r="G321" t="s">
        <v>27</v>
      </c>
      <c r="H321">
        <v>11</v>
      </c>
      <c r="I321">
        <v>6080</v>
      </c>
      <c r="J321">
        <v>10</v>
      </c>
      <c r="K321">
        <v>60192</v>
      </c>
      <c r="L321" t="s">
        <v>42</v>
      </c>
      <c r="M321" s="2">
        <f>Table1[[#This Row],[Revenue_INR]]-Table1[[#This Row],[Price_INR]]</f>
        <v>54112</v>
      </c>
      <c r="N321">
        <f>YEAR(Table1[[#This Row],[Date]])</f>
        <v>2024</v>
      </c>
      <c r="O321" s="2">
        <f t="shared" si="16"/>
        <v>5472</v>
      </c>
      <c r="P321" s="7">
        <f t="shared" si="17"/>
        <v>89.898989898989896</v>
      </c>
      <c r="Q321" s="2">
        <f t="shared" si="18"/>
        <v>6688</v>
      </c>
      <c r="R321" s="5" t="str">
        <f t="shared" si="19"/>
        <v>Above Average</v>
      </c>
      <c r="S321" s="5" t="str">
        <f>Table1[[#This Row],[Quarter]]&amp;" - "&amp;Table1[[#This Row],[City]]</f>
        <v>Q2 - Hyderabad</v>
      </c>
    </row>
    <row r="322" spans="1:19" x14ac:dyDescent="0.3">
      <c r="A322" t="s">
        <v>385</v>
      </c>
      <c r="B322" s="1">
        <v>45420</v>
      </c>
      <c r="C322" t="s">
        <v>363</v>
      </c>
      <c r="D322" t="s">
        <v>310</v>
      </c>
      <c r="E322" t="s">
        <v>15</v>
      </c>
      <c r="F322" t="s">
        <v>21</v>
      </c>
      <c r="G322" t="s">
        <v>22</v>
      </c>
      <c r="H322">
        <v>3</v>
      </c>
      <c r="I322">
        <v>2960</v>
      </c>
      <c r="J322">
        <v>30</v>
      </c>
      <c r="K322">
        <v>6216</v>
      </c>
      <c r="L322" t="s">
        <v>92</v>
      </c>
      <c r="M322" s="2">
        <f>Table1[[#This Row],[Revenue_INR]]-Table1[[#This Row],[Price_INR]]</f>
        <v>3256</v>
      </c>
      <c r="N322">
        <f>YEAR(Table1[[#This Row],[Date]])</f>
        <v>2024</v>
      </c>
      <c r="O322" s="2">
        <f t="shared" ref="O322:O385" si="20">K322/H322</f>
        <v>2072</v>
      </c>
      <c r="P322" s="7">
        <f t="shared" ref="P322:P385" si="21">M322/K322*100</f>
        <v>52.380952380952387</v>
      </c>
      <c r="Q322" s="2">
        <f t="shared" ref="Q322:Q385" si="22">I322*H322*J322/100</f>
        <v>2664</v>
      </c>
      <c r="R322" s="5" t="str">
        <f t="shared" ref="R322:R385" si="23">IF(K322&gt;AVERAGE($K$2:$K$1001),"Above Average","Below Average")</f>
        <v>Below Average</v>
      </c>
      <c r="S322" s="5" t="str">
        <f>Table1[[#This Row],[Quarter]]&amp;" - "&amp;Table1[[#This Row],[City]]</f>
        <v>Q2 - Kolkata</v>
      </c>
    </row>
    <row r="323" spans="1:19" x14ac:dyDescent="0.3">
      <c r="A323" t="s">
        <v>386</v>
      </c>
      <c r="B323" s="1">
        <v>45420</v>
      </c>
      <c r="C323" t="s">
        <v>363</v>
      </c>
      <c r="D323" t="s">
        <v>310</v>
      </c>
      <c r="E323" t="s">
        <v>34</v>
      </c>
      <c r="F323" t="s">
        <v>47</v>
      </c>
      <c r="G323" t="s">
        <v>55</v>
      </c>
      <c r="H323">
        <v>3</v>
      </c>
      <c r="I323">
        <v>5800</v>
      </c>
      <c r="J323">
        <v>5</v>
      </c>
      <c r="K323">
        <v>16530</v>
      </c>
      <c r="L323" t="s">
        <v>49</v>
      </c>
      <c r="M323" s="2">
        <f>Table1[[#This Row],[Revenue_INR]]-Table1[[#This Row],[Price_INR]]</f>
        <v>10730</v>
      </c>
      <c r="N323">
        <f>YEAR(Table1[[#This Row],[Date]])</f>
        <v>2024</v>
      </c>
      <c r="O323" s="2">
        <f t="shared" si="20"/>
        <v>5510</v>
      </c>
      <c r="P323" s="7">
        <f t="shared" si="21"/>
        <v>64.912280701754383</v>
      </c>
      <c r="Q323" s="2">
        <f t="shared" si="22"/>
        <v>870</v>
      </c>
      <c r="R323" s="5" t="str">
        <f t="shared" si="23"/>
        <v>Below Average</v>
      </c>
      <c r="S323" s="5" t="str">
        <f>Table1[[#This Row],[Quarter]]&amp;" - "&amp;Table1[[#This Row],[City]]</f>
        <v>Q2 - Delhi</v>
      </c>
    </row>
    <row r="324" spans="1:19" x14ac:dyDescent="0.3">
      <c r="A324" t="s">
        <v>387</v>
      </c>
      <c r="B324" s="1">
        <v>45420</v>
      </c>
      <c r="C324" t="s">
        <v>363</v>
      </c>
      <c r="D324" t="s">
        <v>310</v>
      </c>
      <c r="E324" t="s">
        <v>34</v>
      </c>
      <c r="F324" t="s">
        <v>60</v>
      </c>
      <c r="G324" t="s">
        <v>61</v>
      </c>
      <c r="H324">
        <v>10</v>
      </c>
      <c r="I324">
        <v>740</v>
      </c>
      <c r="J324">
        <v>25</v>
      </c>
      <c r="K324">
        <v>5550</v>
      </c>
      <c r="L324" t="s">
        <v>49</v>
      </c>
      <c r="M324" s="2">
        <f>Table1[[#This Row],[Revenue_INR]]-Table1[[#This Row],[Price_INR]]</f>
        <v>4810</v>
      </c>
      <c r="N324">
        <f>YEAR(Table1[[#This Row],[Date]])</f>
        <v>2024</v>
      </c>
      <c r="O324" s="2">
        <f t="shared" si="20"/>
        <v>555</v>
      </c>
      <c r="P324" s="7">
        <f t="shared" si="21"/>
        <v>86.666666666666671</v>
      </c>
      <c r="Q324" s="2">
        <f t="shared" si="22"/>
        <v>1850</v>
      </c>
      <c r="R324" s="5" t="str">
        <f t="shared" si="23"/>
        <v>Below Average</v>
      </c>
      <c r="S324" s="5" t="str">
        <f>Table1[[#This Row],[Quarter]]&amp;" - "&amp;Table1[[#This Row],[City]]</f>
        <v>Q2 - Delhi</v>
      </c>
    </row>
    <row r="325" spans="1:19" x14ac:dyDescent="0.3">
      <c r="A325" t="s">
        <v>388</v>
      </c>
      <c r="B325" s="1">
        <v>45421</v>
      </c>
      <c r="C325" t="s">
        <v>363</v>
      </c>
      <c r="D325" t="s">
        <v>310</v>
      </c>
      <c r="E325" t="s">
        <v>34</v>
      </c>
      <c r="F325" t="s">
        <v>26</v>
      </c>
      <c r="G325" t="s">
        <v>58</v>
      </c>
      <c r="H325">
        <v>9</v>
      </c>
      <c r="I325">
        <v>12870</v>
      </c>
      <c r="J325">
        <v>15</v>
      </c>
      <c r="K325">
        <v>98455.5</v>
      </c>
      <c r="L325" t="s">
        <v>45</v>
      </c>
      <c r="M325" s="2">
        <f>Table1[[#This Row],[Revenue_INR]]-Table1[[#This Row],[Price_INR]]</f>
        <v>85585.5</v>
      </c>
      <c r="N325">
        <f>YEAR(Table1[[#This Row],[Date]])</f>
        <v>2024</v>
      </c>
      <c r="O325" s="2">
        <f t="shared" si="20"/>
        <v>10939.5</v>
      </c>
      <c r="P325" s="7">
        <f t="shared" si="21"/>
        <v>86.928104575163403</v>
      </c>
      <c r="Q325" s="2">
        <f t="shared" si="22"/>
        <v>17374.5</v>
      </c>
      <c r="R325" s="5" t="str">
        <f t="shared" si="23"/>
        <v>Above Average</v>
      </c>
      <c r="S325" s="5" t="str">
        <f>Table1[[#This Row],[Quarter]]&amp;" - "&amp;Table1[[#This Row],[City]]</f>
        <v>Q2 - Delhi</v>
      </c>
    </row>
    <row r="326" spans="1:19" x14ac:dyDescent="0.3">
      <c r="A326" t="s">
        <v>389</v>
      </c>
      <c r="B326" s="1">
        <v>45421</v>
      </c>
      <c r="C326" t="s">
        <v>363</v>
      </c>
      <c r="D326" t="s">
        <v>310</v>
      </c>
      <c r="E326" t="s">
        <v>15</v>
      </c>
      <c r="F326" t="s">
        <v>16</v>
      </c>
      <c r="G326" t="s">
        <v>44</v>
      </c>
      <c r="H326">
        <v>4</v>
      </c>
      <c r="I326">
        <v>730</v>
      </c>
      <c r="J326">
        <v>20</v>
      </c>
      <c r="K326">
        <v>2336</v>
      </c>
      <c r="L326" t="s">
        <v>92</v>
      </c>
      <c r="M326" s="2">
        <f>Table1[[#This Row],[Revenue_INR]]-Table1[[#This Row],[Price_INR]]</f>
        <v>1606</v>
      </c>
      <c r="N326">
        <f>YEAR(Table1[[#This Row],[Date]])</f>
        <v>2024</v>
      </c>
      <c r="O326" s="2">
        <f t="shared" si="20"/>
        <v>584</v>
      </c>
      <c r="P326" s="7">
        <f t="shared" si="21"/>
        <v>68.75</v>
      </c>
      <c r="Q326" s="2">
        <f t="shared" si="22"/>
        <v>584</v>
      </c>
      <c r="R326" s="5" t="str">
        <f t="shared" si="23"/>
        <v>Below Average</v>
      </c>
      <c r="S326" s="5" t="str">
        <f>Table1[[#This Row],[Quarter]]&amp;" - "&amp;Table1[[#This Row],[City]]</f>
        <v>Q2 - Kolkata</v>
      </c>
    </row>
    <row r="327" spans="1:19" x14ac:dyDescent="0.3">
      <c r="A327" t="s">
        <v>390</v>
      </c>
      <c r="B327" s="1">
        <v>45421</v>
      </c>
      <c r="C327" t="s">
        <v>363</v>
      </c>
      <c r="D327" t="s">
        <v>310</v>
      </c>
      <c r="E327" t="s">
        <v>20</v>
      </c>
      <c r="F327" t="s">
        <v>47</v>
      </c>
      <c r="G327" t="s">
        <v>102</v>
      </c>
      <c r="H327">
        <v>7</v>
      </c>
      <c r="I327">
        <v>2300</v>
      </c>
      <c r="J327">
        <v>10</v>
      </c>
      <c r="K327">
        <v>14490</v>
      </c>
      <c r="L327" t="s">
        <v>77</v>
      </c>
      <c r="M327" s="2">
        <f>Table1[[#This Row],[Revenue_INR]]-Table1[[#This Row],[Price_INR]]</f>
        <v>12190</v>
      </c>
      <c r="N327">
        <f>YEAR(Table1[[#This Row],[Date]])</f>
        <v>2024</v>
      </c>
      <c r="O327" s="2">
        <f t="shared" si="20"/>
        <v>2070</v>
      </c>
      <c r="P327" s="7">
        <f t="shared" si="21"/>
        <v>84.126984126984127</v>
      </c>
      <c r="Q327" s="2">
        <f t="shared" si="22"/>
        <v>1610</v>
      </c>
      <c r="R327" s="5" t="str">
        <f t="shared" si="23"/>
        <v>Below Average</v>
      </c>
      <c r="S327" s="5" t="str">
        <f>Table1[[#This Row],[Quarter]]&amp;" - "&amp;Table1[[#This Row],[City]]</f>
        <v>Q2 - Mumbai</v>
      </c>
    </row>
    <row r="328" spans="1:19" x14ac:dyDescent="0.3">
      <c r="A328" t="s">
        <v>391</v>
      </c>
      <c r="B328" s="1">
        <v>45421</v>
      </c>
      <c r="C328" t="s">
        <v>363</v>
      </c>
      <c r="D328" t="s">
        <v>310</v>
      </c>
      <c r="E328" t="s">
        <v>15</v>
      </c>
      <c r="F328" t="s">
        <v>16</v>
      </c>
      <c r="G328" t="s">
        <v>44</v>
      </c>
      <c r="H328">
        <v>12</v>
      </c>
      <c r="I328">
        <v>2720</v>
      </c>
      <c r="J328">
        <v>5</v>
      </c>
      <c r="K328">
        <v>31008</v>
      </c>
      <c r="L328" t="s">
        <v>53</v>
      </c>
      <c r="M328" s="2">
        <f>Table1[[#This Row],[Revenue_INR]]-Table1[[#This Row],[Price_INR]]</f>
        <v>28288</v>
      </c>
      <c r="N328">
        <f>YEAR(Table1[[#This Row],[Date]])</f>
        <v>2024</v>
      </c>
      <c r="O328" s="2">
        <f t="shared" si="20"/>
        <v>2584</v>
      </c>
      <c r="P328" s="7">
        <f t="shared" si="21"/>
        <v>91.228070175438589</v>
      </c>
      <c r="Q328" s="2">
        <f t="shared" si="22"/>
        <v>1632</v>
      </c>
      <c r="R328" s="5" t="str">
        <f t="shared" si="23"/>
        <v>Above Average</v>
      </c>
      <c r="S328" s="5" t="str">
        <f>Table1[[#This Row],[Quarter]]&amp;" - "&amp;Table1[[#This Row],[City]]</f>
        <v>Q2 - Kolkata</v>
      </c>
    </row>
    <row r="329" spans="1:19" x14ac:dyDescent="0.3">
      <c r="A329" t="s">
        <v>392</v>
      </c>
      <c r="B329" s="1">
        <v>45422</v>
      </c>
      <c r="C329" t="s">
        <v>363</v>
      </c>
      <c r="D329" t="s">
        <v>310</v>
      </c>
      <c r="E329" t="s">
        <v>34</v>
      </c>
      <c r="F329" t="s">
        <v>26</v>
      </c>
      <c r="G329" t="s">
        <v>27</v>
      </c>
      <c r="H329">
        <v>10</v>
      </c>
      <c r="I329">
        <v>2990</v>
      </c>
      <c r="J329">
        <v>30</v>
      </c>
      <c r="K329">
        <v>20930</v>
      </c>
      <c r="L329" t="s">
        <v>45</v>
      </c>
      <c r="M329" s="2">
        <f>Table1[[#This Row],[Revenue_INR]]-Table1[[#This Row],[Price_INR]]</f>
        <v>17940</v>
      </c>
      <c r="N329">
        <f>YEAR(Table1[[#This Row],[Date]])</f>
        <v>2024</v>
      </c>
      <c r="O329" s="2">
        <f t="shared" si="20"/>
        <v>2093</v>
      </c>
      <c r="P329" s="7">
        <f t="shared" si="21"/>
        <v>85.714285714285708</v>
      </c>
      <c r="Q329" s="2">
        <f t="shared" si="22"/>
        <v>8970</v>
      </c>
      <c r="R329" s="5" t="str">
        <f t="shared" si="23"/>
        <v>Below Average</v>
      </c>
      <c r="S329" s="5" t="str">
        <f>Table1[[#This Row],[Quarter]]&amp;" - "&amp;Table1[[#This Row],[City]]</f>
        <v>Q2 - Delhi</v>
      </c>
    </row>
    <row r="330" spans="1:19" x14ac:dyDescent="0.3">
      <c r="A330" t="s">
        <v>393</v>
      </c>
      <c r="B330" s="1">
        <v>45423</v>
      </c>
      <c r="C330" t="s">
        <v>363</v>
      </c>
      <c r="D330" t="s">
        <v>310</v>
      </c>
      <c r="E330" t="s">
        <v>20</v>
      </c>
      <c r="F330" t="s">
        <v>31</v>
      </c>
      <c r="G330" t="s">
        <v>32</v>
      </c>
      <c r="H330">
        <v>2</v>
      </c>
      <c r="I330">
        <v>2250</v>
      </c>
      <c r="J330">
        <v>10</v>
      </c>
      <c r="K330">
        <v>4050</v>
      </c>
      <c r="L330" t="s">
        <v>39</v>
      </c>
      <c r="M330" s="2">
        <f>Table1[[#This Row],[Revenue_INR]]-Table1[[#This Row],[Price_INR]]</f>
        <v>1800</v>
      </c>
      <c r="N330">
        <f>YEAR(Table1[[#This Row],[Date]])</f>
        <v>2024</v>
      </c>
      <c r="O330" s="2">
        <f t="shared" si="20"/>
        <v>2025</v>
      </c>
      <c r="P330" s="7">
        <f t="shared" si="21"/>
        <v>44.444444444444443</v>
      </c>
      <c r="Q330" s="2">
        <f t="shared" si="22"/>
        <v>450</v>
      </c>
      <c r="R330" s="5" t="str">
        <f t="shared" si="23"/>
        <v>Below Average</v>
      </c>
      <c r="S330" s="5" t="str">
        <f>Table1[[#This Row],[Quarter]]&amp;" - "&amp;Table1[[#This Row],[City]]</f>
        <v>Q2 - Mumbai</v>
      </c>
    </row>
    <row r="331" spans="1:19" x14ac:dyDescent="0.3">
      <c r="A331" t="s">
        <v>394</v>
      </c>
      <c r="B331" s="1">
        <v>45424</v>
      </c>
      <c r="C331" t="s">
        <v>363</v>
      </c>
      <c r="D331" t="s">
        <v>310</v>
      </c>
      <c r="E331" t="s">
        <v>20</v>
      </c>
      <c r="F331" t="s">
        <v>47</v>
      </c>
      <c r="G331" t="s">
        <v>48</v>
      </c>
      <c r="H331">
        <v>14</v>
      </c>
      <c r="I331">
        <v>4990</v>
      </c>
      <c r="J331">
        <v>10</v>
      </c>
      <c r="K331">
        <v>62874</v>
      </c>
      <c r="L331" t="s">
        <v>77</v>
      </c>
      <c r="M331" s="2">
        <f>Table1[[#This Row],[Revenue_INR]]-Table1[[#This Row],[Price_INR]]</f>
        <v>57884</v>
      </c>
      <c r="N331">
        <f>YEAR(Table1[[#This Row],[Date]])</f>
        <v>2024</v>
      </c>
      <c r="O331" s="2">
        <f t="shared" si="20"/>
        <v>4491</v>
      </c>
      <c r="P331" s="7">
        <f t="shared" si="21"/>
        <v>92.063492063492063</v>
      </c>
      <c r="Q331" s="2">
        <f t="shared" si="22"/>
        <v>6986</v>
      </c>
      <c r="R331" s="5" t="str">
        <f t="shared" si="23"/>
        <v>Above Average</v>
      </c>
      <c r="S331" s="5" t="str">
        <f>Table1[[#This Row],[Quarter]]&amp;" - "&amp;Table1[[#This Row],[City]]</f>
        <v>Q2 - Mumbai</v>
      </c>
    </row>
    <row r="332" spans="1:19" x14ac:dyDescent="0.3">
      <c r="A332" t="s">
        <v>395</v>
      </c>
      <c r="B332" s="1">
        <v>45424</v>
      </c>
      <c r="C332" t="s">
        <v>363</v>
      </c>
      <c r="D332" t="s">
        <v>310</v>
      </c>
      <c r="E332" t="s">
        <v>15</v>
      </c>
      <c r="F332" t="s">
        <v>26</v>
      </c>
      <c r="G332" t="s">
        <v>80</v>
      </c>
      <c r="H332">
        <v>10</v>
      </c>
      <c r="I332">
        <v>5240</v>
      </c>
      <c r="J332">
        <v>30</v>
      </c>
      <c r="K332">
        <v>36680</v>
      </c>
      <c r="L332" t="s">
        <v>92</v>
      </c>
      <c r="M332" s="2">
        <f>Table1[[#This Row],[Revenue_INR]]-Table1[[#This Row],[Price_INR]]</f>
        <v>31440</v>
      </c>
      <c r="N332">
        <f>YEAR(Table1[[#This Row],[Date]])</f>
        <v>2024</v>
      </c>
      <c r="O332" s="2">
        <f t="shared" si="20"/>
        <v>3668</v>
      </c>
      <c r="P332" s="7">
        <f t="shared" si="21"/>
        <v>85.714285714285708</v>
      </c>
      <c r="Q332" s="2">
        <f t="shared" si="22"/>
        <v>15720</v>
      </c>
      <c r="R332" s="5" t="str">
        <f t="shared" si="23"/>
        <v>Above Average</v>
      </c>
      <c r="S332" s="5" t="str">
        <f>Table1[[#This Row],[Quarter]]&amp;" - "&amp;Table1[[#This Row],[City]]</f>
        <v>Q2 - Kolkata</v>
      </c>
    </row>
    <row r="333" spans="1:19" x14ac:dyDescent="0.3">
      <c r="A333" t="s">
        <v>396</v>
      </c>
      <c r="B333" s="1">
        <v>45425</v>
      </c>
      <c r="C333" t="s">
        <v>363</v>
      </c>
      <c r="D333" t="s">
        <v>310</v>
      </c>
      <c r="E333" t="s">
        <v>34</v>
      </c>
      <c r="F333" t="s">
        <v>60</v>
      </c>
      <c r="G333" t="s">
        <v>85</v>
      </c>
      <c r="H333">
        <v>10</v>
      </c>
      <c r="I333">
        <v>1410</v>
      </c>
      <c r="J333">
        <v>10</v>
      </c>
      <c r="K333">
        <v>12690</v>
      </c>
      <c r="L333" t="s">
        <v>36</v>
      </c>
      <c r="M333" s="2">
        <f>Table1[[#This Row],[Revenue_INR]]-Table1[[#This Row],[Price_INR]]</f>
        <v>11280</v>
      </c>
      <c r="N333">
        <f>YEAR(Table1[[#This Row],[Date]])</f>
        <v>2024</v>
      </c>
      <c r="O333" s="2">
        <f t="shared" si="20"/>
        <v>1269</v>
      </c>
      <c r="P333" s="7">
        <f t="shared" si="21"/>
        <v>88.888888888888886</v>
      </c>
      <c r="Q333" s="2">
        <f t="shared" si="22"/>
        <v>1410</v>
      </c>
      <c r="R333" s="5" t="str">
        <f t="shared" si="23"/>
        <v>Below Average</v>
      </c>
      <c r="S333" s="5" t="str">
        <f>Table1[[#This Row],[Quarter]]&amp;" - "&amp;Table1[[#This Row],[City]]</f>
        <v>Q2 - Delhi</v>
      </c>
    </row>
    <row r="334" spans="1:19" x14ac:dyDescent="0.3">
      <c r="A334" t="s">
        <v>397</v>
      </c>
      <c r="B334" s="1">
        <v>45426</v>
      </c>
      <c r="C334" t="s">
        <v>363</v>
      </c>
      <c r="D334" t="s">
        <v>310</v>
      </c>
      <c r="E334" t="s">
        <v>34</v>
      </c>
      <c r="F334" t="s">
        <v>47</v>
      </c>
      <c r="G334" t="s">
        <v>48</v>
      </c>
      <c r="H334">
        <v>1</v>
      </c>
      <c r="I334">
        <v>5610</v>
      </c>
      <c r="J334">
        <v>25</v>
      </c>
      <c r="K334">
        <v>4207.5</v>
      </c>
      <c r="L334" t="s">
        <v>45</v>
      </c>
      <c r="M334" s="2">
        <f>Table1[[#This Row],[Revenue_INR]]-Table1[[#This Row],[Price_INR]]</f>
        <v>-1402.5</v>
      </c>
      <c r="N334">
        <f>YEAR(Table1[[#This Row],[Date]])</f>
        <v>2024</v>
      </c>
      <c r="O334" s="2">
        <f t="shared" si="20"/>
        <v>4207.5</v>
      </c>
      <c r="P334" s="7">
        <f t="shared" si="21"/>
        <v>-33.333333333333329</v>
      </c>
      <c r="Q334" s="2">
        <f t="shared" si="22"/>
        <v>1402.5</v>
      </c>
      <c r="R334" s="5" t="str">
        <f t="shared" si="23"/>
        <v>Below Average</v>
      </c>
      <c r="S334" s="5" t="str">
        <f>Table1[[#This Row],[Quarter]]&amp;" - "&amp;Table1[[#This Row],[City]]</f>
        <v>Q2 - Delhi</v>
      </c>
    </row>
    <row r="335" spans="1:19" x14ac:dyDescent="0.3">
      <c r="A335" t="s">
        <v>398</v>
      </c>
      <c r="B335" s="1">
        <v>45426</v>
      </c>
      <c r="C335" t="s">
        <v>363</v>
      </c>
      <c r="D335" t="s">
        <v>310</v>
      </c>
      <c r="E335" t="s">
        <v>34</v>
      </c>
      <c r="F335" t="s">
        <v>60</v>
      </c>
      <c r="G335" t="s">
        <v>99</v>
      </c>
      <c r="H335">
        <v>8</v>
      </c>
      <c r="I335">
        <v>1430</v>
      </c>
      <c r="J335">
        <v>0</v>
      </c>
      <c r="K335">
        <v>11440</v>
      </c>
      <c r="L335" t="s">
        <v>36</v>
      </c>
      <c r="M335" s="2">
        <f>Table1[[#This Row],[Revenue_INR]]-Table1[[#This Row],[Price_INR]]</f>
        <v>10010</v>
      </c>
      <c r="N335">
        <f>YEAR(Table1[[#This Row],[Date]])</f>
        <v>2024</v>
      </c>
      <c r="O335" s="2">
        <f t="shared" si="20"/>
        <v>1430</v>
      </c>
      <c r="P335" s="7">
        <f t="shared" si="21"/>
        <v>87.5</v>
      </c>
      <c r="Q335" s="2">
        <f t="shared" si="22"/>
        <v>0</v>
      </c>
      <c r="R335" s="5" t="str">
        <f t="shared" si="23"/>
        <v>Below Average</v>
      </c>
      <c r="S335" s="5" t="str">
        <f>Table1[[#This Row],[Quarter]]&amp;" - "&amp;Table1[[#This Row],[City]]</f>
        <v>Q2 - Delhi</v>
      </c>
    </row>
    <row r="336" spans="1:19" x14ac:dyDescent="0.3">
      <c r="A336" t="s">
        <v>399</v>
      </c>
      <c r="B336" s="1">
        <v>45426</v>
      </c>
      <c r="C336" t="s">
        <v>363</v>
      </c>
      <c r="D336" t="s">
        <v>310</v>
      </c>
      <c r="E336" t="s">
        <v>25</v>
      </c>
      <c r="F336" t="s">
        <v>47</v>
      </c>
      <c r="G336" t="s">
        <v>55</v>
      </c>
      <c r="H336">
        <v>2</v>
      </c>
      <c r="I336">
        <v>2120</v>
      </c>
      <c r="J336">
        <v>0</v>
      </c>
      <c r="K336">
        <v>4240</v>
      </c>
      <c r="L336" t="s">
        <v>42</v>
      </c>
      <c r="M336" s="2">
        <f>Table1[[#This Row],[Revenue_INR]]-Table1[[#This Row],[Price_INR]]</f>
        <v>2120</v>
      </c>
      <c r="N336">
        <f>YEAR(Table1[[#This Row],[Date]])</f>
        <v>2024</v>
      </c>
      <c r="O336" s="2">
        <f t="shared" si="20"/>
        <v>2120</v>
      </c>
      <c r="P336" s="7">
        <f t="shared" si="21"/>
        <v>50</v>
      </c>
      <c r="Q336" s="2">
        <f t="shared" si="22"/>
        <v>0</v>
      </c>
      <c r="R336" s="5" t="str">
        <f t="shared" si="23"/>
        <v>Below Average</v>
      </c>
      <c r="S336" s="5" t="str">
        <f>Table1[[#This Row],[Quarter]]&amp;" - "&amp;Table1[[#This Row],[City]]</f>
        <v>Q2 - Hyderabad</v>
      </c>
    </row>
    <row r="337" spans="1:19" x14ac:dyDescent="0.3">
      <c r="A337" t="s">
        <v>400</v>
      </c>
      <c r="B337" s="1">
        <v>45427</v>
      </c>
      <c r="C337" t="s">
        <v>363</v>
      </c>
      <c r="D337" t="s">
        <v>310</v>
      </c>
      <c r="E337" t="s">
        <v>25</v>
      </c>
      <c r="F337" t="s">
        <v>60</v>
      </c>
      <c r="G337" t="s">
        <v>61</v>
      </c>
      <c r="H337">
        <v>3</v>
      </c>
      <c r="I337">
        <v>1470</v>
      </c>
      <c r="J337">
        <v>5</v>
      </c>
      <c r="K337">
        <v>4189.5</v>
      </c>
      <c r="L337" t="s">
        <v>28</v>
      </c>
      <c r="M337" s="2">
        <f>Table1[[#This Row],[Revenue_INR]]-Table1[[#This Row],[Price_INR]]</f>
        <v>2719.5</v>
      </c>
      <c r="N337">
        <f>YEAR(Table1[[#This Row],[Date]])</f>
        <v>2024</v>
      </c>
      <c r="O337" s="2">
        <f t="shared" si="20"/>
        <v>1396.5</v>
      </c>
      <c r="P337" s="7">
        <f t="shared" si="21"/>
        <v>64.912280701754383</v>
      </c>
      <c r="Q337" s="2">
        <f t="shared" si="22"/>
        <v>220.5</v>
      </c>
      <c r="R337" s="5" t="str">
        <f t="shared" si="23"/>
        <v>Below Average</v>
      </c>
      <c r="S337" s="5" t="str">
        <f>Table1[[#This Row],[Quarter]]&amp;" - "&amp;Table1[[#This Row],[City]]</f>
        <v>Q2 - Hyderabad</v>
      </c>
    </row>
    <row r="338" spans="1:19" x14ac:dyDescent="0.3">
      <c r="A338" t="s">
        <v>401</v>
      </c>
      <c r="B338" s="1">
        <v>45427</v>
      </c>
      <c r="C338" t="s">
        <v>363</v>
      </c>
      <c r="D338" t="s">
        <v>310</v>
      </c>
      <c r="E338" t="s">
        <v>25</v>
      </c>
      <c r="F338" t="s">
        <v>47</v>
      </c>
      <c r="G338" t="s">
        <v>51</v>
      </c>
      <c r="H338">
        <v>4</v>
      </c>
      <c r="I338">
        <v>3640</v>
      </c>
      <c r="J338">
        <v>30</v>
      </c>
      <c r="K338">
        <v>10192</v>
      </c>
      <c r="L338" t="s">
        <v>42</v>
      </c>
      <c r="M338" s="2">
        <f>Table1[[#This Row],[Revenue_INR]]-Table1[[#This Row],[Price_INR]]</f>
        <v>6552</v>
      </c>
      <c r="N338">
        <f>YEAR(Table1[[#This Row],[Date]])</f>
        <v>2024</v>
      </c>
      <c r="O338" s="2">
        <f t="shared" si="20"/>
        <v>2548</v>
      </c>
      <c r="P338" s="7">
        <f t="shared" si="21"/>
        <v>64.285714285714292</v>
      </c>
      <c r="Q338" s="2">
        <f t="shared" si="22"/>
        <v>4368</v>
      </c>
      <c r="R338" s="5" t="str">
        <f t="shared" si="23"/>
        <v>Below Average</v>
      </c>
      <c r="S338" s="5" t="str">
        <f>Table1[[#This Row],[Quarter]]&amp;" - "&amp;Table1[[#This Row],[City]]</f>
        <v>Q2 - Hyderabad</v>
      </c>
    </row>
    <row r="339" spans="1:19" x14ac:dyDescent="0.3">
      <c r="A339" t="s">
        <v>402</v>
      </c>
      <c r="B339" s="1">
        <v>45427</v>
      </c>
      <c r="C339" t="s">
        <v>363</v>
      </c>
      <c r="D339" t="s">
        <v>310</v>
      </c>
      <c r="E339" t="s">
        <v>20</v>
      </c>
      <c r="F339" t="s">
        <v>16</v>
      </c>
      <c r="G339" t="s">
        <v>17</v>
      </c>
      <c r="H339">
        <v>2</v>
      </c>
      <c r="I339">
        <v>2810</v>
      </c>
      <c r="J339">
        <v>5</v>
      </c>
      <c r="K339">
        <v>5339</v>
      </c>
      <c r="L339" t="s">
        <v>39</v>
      </c>
      <c r="M339" s="2">
        <f>Table1[[#This Row],[Revenue_INR]]-Table1[[#This Row],[Price_INR]]</f>
        <v>2529</v>
      </c>
      <c r="N339">
        <f>YEAR(Table1[[#This Row],[Date]])</f>
        <v>2024</v>
      </c>
      <c r="O339" s="2">
        <f t="shared" si="20"/>
        <v>2669.5</v>
      </c>
      <c r="P339" s="7">
        <f t="shared" si="21"/>
        <v>47.368421052631575</v>
      </c>
      <c r="Q339" s="2">
        <f t="shared" si="22"/>
        <v>281</v>
      </c>
      <c r="R339" s="5" t="str">
        <f t="shared" si="23"/>
        <v>Below Average</v>
      </c>
      <c r="S339" s="5" t="str">
        <f>Table1[[#This Row],[Quarter]]&amp;" - "&amp;Table1[[#This Row],[City]]</f>
        <v>Q2 - Mumbai</v>
      </c>
    </row>
    <row r="340" spans="1:19" x14ac:dyDescent="0.3">
      <c r="A340" t="s">
        <v>403</v>
      </c>
      <c r="B340" s="1">
        <v>45427</v>
      </c>
      <c r="C340" t="s">
        <v>363</v>
      </c>
      <c r="D340" t="s">
        <v>310</v>
      </c>
      <c r="E340" t="s">
        <v>15</v>
      </c>
      <c r="F340" t="s">
        <v>31</v>
      </c>
      <c r="G340" t="s">
        <v>131</v>
      </c>
      <c r="H340">
        <v>7</v>
      </c>
      <c r="I340">
        <v>5230</v>
      </c>
      <c r="J340">
        <v>5</v>
      </c>
      <c r="K340">
        <v>34779.5</v>
      </c>
      <c r="L340" t="s">
        <v>18</v>
      </c>
      <c r="M340" s="2">
        <f>Table1[[#This Row],[Revenue_INR]]-Table1[[#This Row],[Price_INR]]</f>
        <v>29549.5</v>
      </c>
      <c r="N340">
        <f>YEAR(Table1[[#This Row],[Date]])</f>
        <v>2024</v>
      </c>
      <c r="O340" s="2">
        <f t="shared" si="20"/>
        <v>4968.5</v>
      </c>
      <c r="P340" s="7">
        <f t="shared" si="21"/>
        <v>84.962406015037601</v>
      </c>
      <c r="Q340" s="2">
        <f t="shared" si="22"/>
        <v>1830.5</v>
      </c>
      <c r="R340" s="5" t="str">
        <f t="shared" si="23"/>
        <v>Above Average</v>
      </c>
      <c r="S340" s="5" t="str">
        <f>Table1[[#This Row],[Quarter]]&amp;" - "&amp;Table1[[#This Row],[City]]</f>
        <v>Q2 - Kolkata</v>
      </c>
    </row>
    <row r="341" spans="1:19" x14ac:dyDescent="0.3">
      <c r="A341" t="s">
        <v>404</v>
      </c>
      <c r="B341" s="1">
        <v>45427</v>
      </c>
      <c r="C341" t="s">
        <v>363</v>
      </c>
      <c r="D341" t="s">
        <v>310</v>
      </c>
      <c r="E341" t="s">
        <v>15</v>
      </c>
      <c r="F341" t="s">
        <v>26</v>
      </c>
      <c r="G341" t="s">
        <v>27</v>
      </c>
      <c r="H341">
        <v>7</v>
      </c>
      <c r="I341">
        <v>2540</v>
      </c>
      <c r="J341">
        <v>0</v>
      </c>
      <c r="K341">
        <v>17780</v>
      </c>
      <c r="L341" t="s">
        <v>18</v>
      </c>
      <c r="M341" s="2">
        <f>Table1[[#This Row],[Revenue_INR]]-Table1[[#This Row],[Price_INR]]</f>
        <v>15240</v>
      </c>
      <c r="N341">
        <f>YEAR(Table1[[#This Row],[Date]])</f>
        <v>2024</v>
      </c>
      <c r="O341" s="2">
        <f t="shared" si="20"/>
        <v>2540</v>
      </c>
      <c r="P341" s="7">
        <f t="shared" si="21"/>
        <v>85.714285714285708</v>
      </c>
      <c r="Q341" s="2">
        <f t="shared" si="22"/>
        <v>0</v>
      </c>
      <c r="R341" s="5" t="str">
        <f t="shared" si="23"/>
        <v>Below Average</v>
      </c>
      <c r="S341" s="5" t="str">
        <f>Table1[[#This Row],[Quarter]]&amp;" - "&amp;Table1[[#This Row],[City]]</f>
        <v>Q2 - Kolkata</v>
      </c>
    </row>
    <row r="342" spans="1:19" x14ac:dyDescent="0.3">
      <c r="A342" t="s">
        <v>405</v>
      </c>
      <c r="B342" s="1">
        <v>45428</v>
      </c>
      <c r="C342" t="s">
        <v>363</v>
      </c>
      <c r="D342" t="s">
        <v>310</v>
      </c>
      <c r="E342" t="s">
        <v>20</v>
      </c>
      <c r="F342" t="s">
        <v>16</v>
      </c>
      <c r="G342" t="s">
        <v>69</v>
      </c>
      <c r="H342">
        <v>9</v>
      </c>
      <c r="I342">
        <v>2140</v>
      </c>
      <c r="J342">
        <v>30</v>
      </c>
      <c r="K342">
        <v>13482</v>
      </c>
      <c r="L342" t="s">
        <v>77</v>
      </c>
      <c r="M342" s="2">
        <f>Table1[[#This Row],[Revenue_INR]]-Table1[[#This Row],[Price_INR]]</f>
        <v>11342</v>
      </c>
      <c r="N342">
        <f>YEAR(Table1[[#This Row],[Date]])</f>
        <v>2024</v>
      </c>
      <c r="O342" s="2">
        <f t="shared" si="20"/>
        <v>1498</v>
      </c>
      <c r="P342" s="7">
        <f t="shared" si="21"/>
        <v>84.126984126984127</v>
      </c>
      <c r="Q342" s="2">
        <f t="shared" si="22"/>
        <v>5778</v>
      </c>
      <c r="R342" s="5" t="str">
        <f t="shared" si="23"/>
        <v>Below Average</v>
      </c>
      <c r="S342" s="5" t="str">
        <f>Table1[[#This Row],[Quarter]]&amp;" - "&amp;Table1[[#This Row],[City]]</f>
        <v>Q2 - Mumbai</v>
      </c>
    </row>
    <row r="343" spans="1:19" x14ac:dyDescent="0.3">
      <c r="A343" t="s">
        <v>406</v>
      </c>
      <c r="B343" s="1">
        <v>45428</v>
      </c>
      <c r="C343" t="s">
        <v>363</v>
      </c>
      <c r="D343" t="s">
        <v>310</v>
      </c>
      <c r="E343" t="s">
        <v>25</v>
      </c>
      <c r="F343" t="s">
        <v>47</v>
      </c>
      <c r="G343" t="s">
        <v>55</v>
      </c>
      <c r="H343">
        <v>11</v>
      </c>
      <c r="I343">
        <v>5810</v>
      </c>
      <c r="J343">
        <v>5</v>
      </c>
      <c r="K343">
        <v>60714.5</v>
      </c>
      <c r="L343" t="s">
        <v>42</v>
      </c>
      <c r="M343" s="2">
        <f>Table1[[#This Row],[Revenue_INR]]-Table1[[#This Row],[Price_INR]]</f>
        <v>54904.5</v>
      </c>
      <c r="N343">
        <f>YEAR(Table1[[#This Row],[Date]])</f>
        <v>2024</v>
      </c>
      <c r="O343" s="2">
        <f t="shared" si="20"/>
        <v>5519.5</v>
      </c>
      <c r="P343" s="7">
        <f t="shared" si="21"/>
        <v>90.430622009569376</v>
      </c>
      <c r="Q343" s="2">
        <f t="shared" si="22"/>
        <v>3195.5</v>
      </c>
      <c r="R343" s="5" t="str">
        <f t="shared" si="23"/>
        <v>Above Average</v>
      </c>
      <c r="S343" s="5" t="str">
        <f>Table1[[#This Row],[Quarter]]&amp;" - "&amp;Table1[[#This Row],[City]]</f>
        <v>Q2 - Hyderabad</v>
      </c>
    </row>
    <row r="344" spans="1:19" x14ac:dyDescent="0.3">
      <c r="A344" t="s">
        <v>407</v>
      </c>
      <c r="B344" s="1">
        <v>45429</v>
      </c>
      <c r="C344" t="s">
        <v>363</v>
      </c>
      <c r="D344" t="s">
        <v>310</v>
      </c>
      <c r="E344" t="s">
        <v>15</v>
      </c>
      <c r="F344" t="s">
        <v>60</v>
      </c>
      <c r="G344" t="s">
        <v>99</v>
      </c>
      <c r="H344">
        <v>5</v>
      </c>
      <c r="I344">
        <v>1430</v>
      </c>
      <c r="J344">
        <v>5</v>
      </c>
      <c r="K344">
        <v>6792.5</v>
      </c>
      <c r="L344" t="s">
        <v>18</v>
      </c>
      <c r="M344" s="2">
        <f>Table1[[#This Row],[Revenue_INR]]-Table1[[#This Row],[Price_INR]]</f>
        <v>5362.5</v>
      </c>
      <c r="N344">
        <f>YEAR(Table1[[#This Row],[Date]])</f>
        <v>2024</v>
      </c>
      <c r="O344" s="2">
        <f t="shared" si="20"/>
        <v>1358.5</v>
      </c>
      <c r="P344" s="7">
        <f t="shared" si="21"/>
        <v>78.94736842105263</v>
      </c>
      <c r="Q344" s="2">
        <f t="shared" si="22"/>
        <v>357.5</v>
      </c>
      <c r="R344" s="5" t="str">
        <f t="shared" si="23"/>
        <v>Below Average</v>
      </c>
      <c r="S344" s="5" t="str">
        <f>Table1[[#This Row],[Quarter]]&amp;" - "&amp;Table1[[#This Row],[City]]</f>
        <v>Q2 - Kolkata</v>
      </c>
    </row>
    <row r="345" spans="1:19" x14ac:dyDescent="0.3">
      <c r="A345" t="s">
        <v>408</v>
      </c>
      <c r="B345" s="1">
        <v>45429</v>
      </c>
      <c r="C345" t="s">
        <v>363</v>
      </c>
      <c r="D345" t="s">
        <v>310</v>
      </c>
      <c r="E345" t="s">
        <v>25</v>
      </c>
      <c r="F345" t="s">
        <v>47</v>
      </c>
      <c r="G345" t="s">
        <v>48</v>
      </c>
      <c r="H345">
        <v>15</v>
      </c>
      <c r="I345">
        <v>4470</v>
      </c>
      <c r="J345">
        <v>20</v>
      </c>
      <c r="K345">
        <v>53640</v>
      </c>
      <c r="L345" t="s">
        <v>42</v>
      </c>
      <c r="M345" s="2">
        <f>Table1[[#This Row],[Revenue_INR]]-Table1[[#This Row],[Price_INR]]</f>
        <v>49170</v>
      </c>
      <c r="N345">
        <f>YEAR(Table1[[#This Row],[Date]])</f>
        <v>2024</v>
      </c>
      <c r="O345" s="2">
        <f t="shared" si="20"/>
        <v>3576</v>
      </c>
      <c r="P345" s="7">
        <f t="shared" si="21"/>
        <v>91.666666666666657</v>
      </c>
      <c r="Q345" s="2">
        <f t="shared" si="22"/>
        <v>13410</v>
      </c>
      <c r="R345" s="5" t="str">
        <f t="shared" si="23"/>
        <v>Above Average</v>
      </c>
      <c r="S345" s="5" t="str">
        <f>Table1[[#This Row],[Quarter]]&amp;" - "&amp;Table1[[#This Row],[City]]</f>
        <v>Q2 - Hyderabad</v>
      </c>
    </row>
    <row r="346" spans="1:19" x14ac:dyDescent="0.3">
      <c r="A346" t="s">
        <v>409</v>
      </c>
      <c r="B346" s="1">
        <v>45429</v>
      </c>
      <c r="C346" t="s">
        <v>363</v>
      </c>
      <c r="D346" t="s">
        <v>310</v>
      </c>
      <c r="E346" t="s">
        <v>25</v>
      </c>
      <c r="F346" t="s">
        <v>16</v>
      </c>
      <c r="G346" t="s">
        <v>41</v>
      </c>
      <c r="H346">
        <v>5</v>
      </c>
      <c r="I346">
        <v>760</v>
      </c>
      <c r="J346">
        <v>10</v>
      </c>
      <c r="K346">
        <v>3420</v>
      </c>
      <c r="L346" t="s">
        <v>28</v>
      </c>
      <c r="M346" s="2">
        <f>Table1[[#This Row],[Revenue_INR]]-Table1[[#This Row],[Price_INR]]</f>
        <v>2660</v>
      </c>
      <c r="N346">
        <f>YEAR(Table1[[#This Row],[Date]])</f>
        <v>2024</v>
      </c>
      <c r="O346" s="2">
        <f t="shared" si="20"/>
        <v>684</v>
      </c>
      <c r="P346" s="7">
        <f t="shared" si="21"/>
        <v>77.777777777777786</v>
      </c>
      <c r="Q346" s="2">
        <f t="shared" si="22"/>
        <v>380</v>
      </c>
      <c r="R346" s="5" t="str">
        <f t="shared" si="23"/>
        <v>Below Average</v>
      </c>
      <c r="S346" s="5" t="str">
        <f>Table1[[#This Row],[Quarter]]&amp;" - "&amp;Table1[[#This Row],[City]]</f>
        <v>Q2 - Hyderabad</v>
      </c>
    </row>
    <row r="347" spans="1:19" x14ac:dyDescent="0.3">
      <c r="A347" t="s">
        <v>410</v>
      </c>
      <c r="B347" s="1">
        <v>45429</v>
      </c>
      <c r="C347" t="s">
        <v>363</v>
      </c>
      <c r="D347" t="s">
        <v>310</v>
      </c>
      <c r="E347" t="s">
        <v>34</v>
      </c>
      <c r="F347" t="s">
        <v>26</v>
      </c>
      <c r="G347" t="s">
        <v>27</v>
      </c>
      <c r="H347">
        <v>3</v>
      </c>
      <c r="I347">
        <v>3420</v>
      </c>
      <c r="J347">
        <v>25</v>
      </c>
      <c r="K347">
        <v>7695</v>
      </c>
      <c r="L347" t="s">
        <v>36</v>
      </c>
      <c r="M347" s="2">
        <f>Table1[[#This Row],[Revenue_INR]]-Table1[[#This Row],[Price_INR]]</f>
        <v>4275</v>
      </c>
      <c r="N347">
        <f>YEAR(Table1[[#This Row],[Date]])</f>
        <v>2024</v>
      </c>
      <c r="O347" s="2">
        <f t="shared" si="20"/>
        <v>2565</v>
      </c>
      <c r="P347" s="7">
        <f t="shared" si="21"/>
        <v>55.555555555555557</v>
      </c>
      <c r="Q347" s="2">
        <f t="shared" si="22"/>
        <v>2565</v>
      </c>
      <c r="R347" s="5" t="str">
        <f t="shared" si="23"/>
        <v>Below Average</v>
      </c>
      <c r="S347" s="5" t="str">
        <f>Table1[[#This Row],[Quarter]]&amp;" - "&amp;Table1[[#This Row],[City]]</f>
        <v>Q2 - Delhi</v>
      </c>
    </row>
    <row r="348" spans="1:19" x14ac:dyDescent="0.3">
      <c r="A348" t="s">
        <v>411</v>
      </c>
      <c r="B348" s="1">
        <v>45430</v>
      </c>
      <c r="C348" t="s">
        <v>363</v>
      </c>
      <c r="D348" t="s">
        <v>310</v>
      </c>
      <c r="E348" t="s">
        <v>34</v>
      </c>
      <c r="F348" t="s">
        <v>16</v>
      </c>
      <c r="G348" t="s">
        <v>41</v>
      </c>
      <c r="H348">
        <v>14</v>
      </c>
      <c r="I348">
        <v>880</v>
      </c>
      <c r="J348">
        <v>20</v>
      </c>
      <c r="K348">
        <v>9856</v>
      </c>
      <c r="L348" t="s">
        <v>36</v>
      </c>
      <c r="M348" s="2">
        <f>Table1[[#This Row],[Revenue_INR]]-Table1[[#This Row],[Price_INR]]</f>
        <v>8976</v>
      </c>
      <c r="N348">
        <f>YEAR(Table1[[#This Row],[Date]])</f>
        <v>2024</v>
      </c>
      <c r="O348" s="2">
        <f t="shared" si="20"/>
        <v>704</v>
      </c>
      <c r="P348" s="7">
        <f t="shared" si="21"/>
        <v>91.071428571428569</v>
      </c>
      <c r="Q348" s="2">
        <f t="shared" si="22"/>
        <v>2464</v>
      </c>
      <c r="R348" s="5" t="str">
        <f t="shared" si="23"/>
        <v>Below Average</v>
      </c>
      <c r="S348" s="5" t="str">
        <f>Table1[[#This Row],[Quarter]]&amp;" - "&amp;Table1[[#This Row],[City]]</f>
        <v>Q2 - Delhi</v>
      </c>
    </row>
    <row r="349" spans="1:19" x14ac:dyDescent="0.3">
      <c r="A349" t="s">
        <v>412</v>
      </c>
      <c r="B349" s="1">
        <v>45430</v>
      </c>
      <c r="C349" t="s">
        <v>363</v>
      </c>
      <c r="D349" t="s">
        <v>310</v>
      </c>
      <c r="E349" t="s">
        <v>15</v>
      </c>
      <c r="F349" t="s">
        <v>16</v>
      </c>
      <c r="G349" t="s">
        <v>17</v>
      </c>
      <c r="H349">
        <v>5</v>
      </c>
      <c r="I349">
        <v>1730</v>
      </c>
      <c r="J349">
        <v>15</v>
      </c>
      <c r="K349">
        <v>7352.5</v>
      </c>
      <c r="L349" t="s">
        <v>18</v>
      </c>
      <c r="M349" s="2">
        <f>Table1[[#This Row],[Revenue_INR]]-Table1[[#This Row],[Price_INR]]</f>
        <v>5622.5</v>
      </c>
      <c r="N349">
        <f>YEAR(Table1[[#This Row],[Date]])</f>
        <v>2024</v>
      </c>
      <c r="O349" s="2">
        <f t="shared" si="20"/>
        <v>1470.5</v>
      </c>
      <c r="P349" s="7">
        <f t="shared" si="21"/>
        <v>76.470588235294116</v>
      </c>
      <c r="Q349" s="2">
        <f t="shared" si="22"/>
        <v>1297.5</v>
      </c>
      <c r="R349" s="5" t="str">
        <f t="shared" si="23"/>
        <v>Below Average</v>
      </c>
      <c r="S349" s="5" t="str">
        <f>Table1[[#This Row],[Quarter]]&amp;" - "&amp;Table1[[#This Row],[City]]</f>
        <v>Q2 - Kolkata</v>
      </c>
    </row>
    <row r="350" spans="1:19" x14ac:dyDescent="0.3">
      <c r="A350" t="s">
        <v>413</v>
      </c>
      <c r="B350" s="1">
        <v>45430</v>
      </c>
      <c r="C350" t="s">
        <v>363</v>
      </c>
      <c r="D350" t="s">
        <v>310</v>
      </c>
      <c r="E350" t="s">
        <v>25</v>
      </c>
      <c r="F350" t="s">
        <v>21</v>
      </c>
      <c r="G350" t="s">
        <v>22</v>
      </c>
      <c r="H350">
        <v>13</v>
      </c>
      <c r="I350">
        <v>890</v>
      </c>
      <c r="J350">
        <v>0</v>
      </c>
      <c r="K350">
        <v>11570</v>
      </c>
      <c r="L350" t="s">
        <v>28</v>
      </c>
      <c r="M350" s="2">
        <f>Table1[[#This Row],[Revenue_INR]]-Table1[[#This Row],[Price_INR]]</f>
        <v>10680</v>
      </c>
      <c r="N350">
        <f>YEAR(Table1[[#This Row],[Date]])</f>
        <v>2024</v>
      </c>
      <c r="O350" s="2">
        <f t="shared" si="20"/>
        <v>890</v>
      </c>
      <c r="P350" s="7">
        <f t="shared" si="21"/>
        <v>92.307692307692307</v>
      </c>
      <c r="Q350" s="2">
        <f t="shared" si="22"/>
        <v>0</v>
      </c>
      <c r="R350" s="5" t="str">
        <f t="shared" si="23"/>
        <v>Below Average</v>
      </c>
      <c r="S350" s="5" t="str">
        <f>Table1[[#This Row],[Quarter]]&amp;" - "&amp;Table1[[#This Row],[City]]</f>
        <v>Q2 - Hyderabad</v>
      </c>
    </row>
    <row r="351" spans="1:19" x14ac:dyDescent="0.3">
      <c r="A351" t="s">
        <v>414</v>
      </c>
      <c r="B351" s="1">
        <v>45431</v>
      </c>
      <c r="C351" t="s">
        <v>363</v>
      </c>
      <c r="D351" t="s">
        <v>310</v>
      </c>
      <c r="E351" t="s">
        <v>15</v>
      </c>
      <c r="F351" t="s">
        <v>60</v>
      </c>
      <c r="G351" t="s">
        <v>124</v>
      </c>
      <c r="H351">
        <v>12</v>
      </c>
      <c r="I351">
        <v>1910</v>
      </c>
      <c r="J351">
        <v>15</v>
      </c>
      <c r="K351">
        <v>19482</v>
      </c>
      <c r="L351" t="s">
        <v>18</v>
      </c>
      <c r="M351" s="2">
        <f>Table1[[#This Row],[Revenue_INR]]-Table1[[#This Row],[Price_INR]]</f>
        <v>17572</v>
      </c>
      <c r="N351">
        <f>YEAR(Table1[[#This Row],[Date]])</f>
        <v>2024</v>
      </c>
      <c r="O351" s="2">
        <f t="shared" si="20"/>
        <v>1623.5</v>
      </c>
      <c r="P351" s="7">
        <f t="shared" si="21"/>
        <v>90.196078431372555</v>
      </c>
      <c r="Q351" s="2">
        <f t="shared" si="22"/>
        <v>3438</v>
      </c>
      <c r="R351" s="5" t="str">
        <f t="shared" si="23"/>
        <v>Below Average</v>
      </c>
      <c r="S351" s="5" t="str">
        <f>Table1[[#This Row],[Quarter]]&amp;" - "&amp;Table1[[#This Row],[City]]</f>
        <v>Q2 - Kolkata</v>
      </c>
    </row>
    <row r="352" spans="1:19" x14ac:dyDescent="0.3">
      <c r="A352" t="s">
        <v>415</v>
      </c>
      <c r="B352" s="1">
        <v>45432</v>
      </c>
      <c r="C352" t="s">
        <v>363</v>
      </c>
      <c r="D352" t="s">
        <v>310</v>
      </c>
      <c r="E352" t="s">
        <v>15</v>
      </c>
      <c r="F352" t="s">
        <v>31</v>
      </c>
      <c r="G352" t="s">
        <v>35</v>
      </c>
      <c r="H352">
        <v>15</v>
      </c>
      <c r="I352">
        <v>2740</v>
      </c>
      <c r="J352">
        <v>30</v>
      </c>
      <c r="K352">
        <v>28770</v>
      </c>
      <c r="L352" t="s">
        <v>53</v>
      </c>
      <c r="M352" s="2">
        <f>Table1[[#This Row],[Revenue_INR]]-Table1[[#This Row],[Price_INR]]</f>
        <v>26030</v>
      </c>
      <c r="N352">
        <f>YEAR(Table1[[#This Row],[Date]])</f>
        <v>2024</v>
      </c>
      <c r="O352" s="2">
        <f t="shared" si="20"/>
        <v>1918</v>
      </c>
      <c r="P352" s="7">
        <f t="shared" si="21"/>
        <v>90.476190476190482</v>
      </c>
      <c r="Q352" s="2">
        <f t="shared" si="22"/>
        <v>12330</v>
      </c>
      <c r="R352" s="5" t="str">
        <f t="shared" si="23"/>
        <v>Above Average</v>
      </c>
      <c r="S352" s="5" t="str">
        <f>Table1[[#This Row],[Quarter]]&amp;" - "&amp;Table1[[#This Row],[City]]</f>
        <v>Q2 - Kolkata</v>
      </c>
    </row>
    <row r="353" spans="1:19" x14ac:dyDescent="0.3">
      <c r="A353" t="s">
        <v>416</v>
      </c>
      <c r="B353" s="1">
        <v>45432</v>
      </c>
      <c r="C353" t="s">
        <v>363</v>
      </c>
      <c r="D353" t="s">
        <v>310</v>
      </c>
      <c r="E353" t="s">
        <v>34</v>
      </c>
      <c r="F353" t="s">
        <v>26</v>
      </c>
      <c r="G353" t="s">
        <v>27</v>
      </c>
      <c r="H353">
        <v>12</v>
      </c>
      <c r="I353">
        <v>9700</v>
      </c>
      <c r="J353">
        <v>25</v>
      </c>
      <c r="K353">
        <v>87300</v>
      </c>
      <c r="L353" t="s">
        <v>49</v>
      </c>
      <c r="M353" s="2">
        <f>Table1[[#This Row],[Revenue_INR]]-Table1[[#This Row],[Price_INR]]</f>
        <v>77600</v>
      </c>
      <c r="N353">
        <f>YEAR(Table1[[#This Row],[Date]])</f>
        <v>2024</v>
      </c>
      <c r="O353" s="2">
        <f t="shared" si="20"/>
        <v>7275</v>
      </c>
      <c r="P353" s="7">
        <f t="shared" si="21"/>
        <v>88.888888888888886</v>
      </c>
      <c r="Q353" s="2">
        <f t="shared" si="22"/>
        <v>29100</v>
      </c>
      <c r="R353" s="5" t="str">
        <f t="shared" si="23"/>
        <v>Above Average</v>
      </c>
      <c r="S353" s="5" t="str">
        <f>Table1[[#This Row],[Quarter]]&amp;" - "&amp;Table1[[#This Row],[City]]</f>
        <v>Q2 - Delhi</v>
      </c>
    </row>
    <row r="354" spans="1:19" x14ac:dyDescent="0.3">
      <c r="A354" t="s">
        <v>417</v>
      </c>
      <c r="B354" s="1">
        <v>45432</v>
      </c>
      <c r="C354" t="s">
        <v>363</v>
      </c>
      <c r="D354" t="s">
        <v>310</v>
      </c>
      <c r="E354" t="s">
        <v>20</v>
      </c>
      <c r="F354" t="s">
        <v>47</v>
      </c>
      <c r="G354" t="s">
        <v>102</v>
      </c>
      <c r="H354">
        <v>4</v>
      </c>
      <c r="I354">
        <v>3210</v>
      </c>
      <c r="J354">
        <v>5</v>
      </c>
      <c r="K354">
        <v>12198</v>
      </c>
      <c r="L354" t="s">
        <v>23</v>
      </c>
      <c r="M354" s="2">
        <f>Table1[[#This Row],[Revenue_INR]]-Table1[[#This Row],[Price_INR]]</f>
        <v>8988</v>
      </c>
      <c r="N354">
        <f>YEAR(Table1[[#This Row],[Date]])</f>
        <v>2024</v>
      </c>
      <c r="O354" s="2">
        <f t="shared" si="20"/>
        <v>3049.5</v>
      </c>
      <c r="P354" s="7">
        <f t="shared" si="21"/>
        <v>73.68421052631578</v>
      </c>
      <c r="Q354" s="2">
        <f t="shared" si="22"/>
        <v>642</v>
      </c>
      <c r="R354" s="5" t="str">
        <f t="shared" si="23"/>
        <v>Below Average</v>
      </c>
      <c r="S354" s="5" t="str">
        <f>Table1[[#This Row],[Quarter]]&amp;" - "&amp;Table1[[#This Row],[City]]</f>
        <v>Q2 - Mumbai</v>
      </c>
    </row>
    <row r="355" spans="1:19" x14ac:dyDescent="0.3">
      <c r="A355" t="s">
        <v>418</v>
      </c>
      <c r="B355" s="1">
        <v>45432</v>
      </c>
      <c r="C355" t="s">
        <v>363</v>
      </c>
      <c r="D355" t="s">
        <v>310</v>
      </c>
      <c r="E355" t="s">
        <v>15</v>
      </c>
      <c r="F355" t="s">
        <v>31</v>
      </c>
      <c r="G355" t="s">
        <v>38</v>
      </c>
      <c r="H355">
        <v>15</v>
      </c>
      <c r="I355">
        <v>3460</v>
      </c>
      <c r="J355">
        <v>20</v>
      </c>
      <c r="K355">
        <v>41520</v>
      </c>
      <c r="L355" t="s">
        <v>53</v>
      </c>
      <c r="M355" s="2">
        <f>Table1[[#This Row],[Revenue_INR]]-Table1[[#This Row],[Price_INR]]</f>
        <v>38060</v>
      </c>
      <c r="N355">
        <f>YEAR(Table1[[#This Row],[Date]])</f>
        <v>2024</v>
      </c>
      <c r="O355" s="2">
        <f t="shared" si="20"/>
        <v>2768</v>
      </c>
      <c r="P355" s="7">
        <f t="shared" si="21"/>
        <v>91.666666666666657</v>
      </c>
      <c r="Q355" s="2">
        <f t="shared" si="22"/>
        <v>10380</v>
      </c>
      <c r="R355" s="5" t="str">
        <f t="shared" si="23"/>
        <v>Above Average</v>
      </c>
      <c r="S355" s="5" t="str">
        <f>Table1[[#This Row],[Quarter]]&amp;" - "&amp;Table1[[#This Row],[City]]</f>
        <v>Q2 - Kolkata</v>
      </c>
    </row>
    <row r="356" spans="1:19" x14ac:dyDescent="0.3">
      <c r="A356" t="s">
        <v>419</v>
      </c>
      <c r="B356" s="1">
        <v>45433</v>
      </c>
      <c r="C356" t="s">
        <v>363</v>
      </c>
      <c r="D356" t="s">
        <v>310</v>
      </c>
      <c r="E356" t="s">
        <v>20</v>
      </c>
      <c r="F356" t="s">
        <v>16</v>
      </c>
      <c r="G356" t="s">
        <v>44</v>
      </c>
      <c r="H356">
        <v>12</v>
      </c>
      <c r="I356">
        <v>820</v>
      </c>
      <c r="J356">
        <v>15</v>
      </c>
      <c r="K356">
        <v>8364</v>
      </c>
      <c r="L356" t="s">
        <v>77</v>
      </c>
      <c r="M356" s="2">
        <f>Table1[[#This Row],[Revenue_INR]]-Table1[[#This Row],[Price_INR]]</f>
        <v>7544</v>
      </c>
      <c r="N356">
        <f>YEAR(Table1[[#This Row],[Date]])</f>
        <v>2024</v>
      </c>
      <c r="O356" s="2">
        <f t="shared" si="20"/>
        <v>697</v>
      </c>
      <c r="P356" s="7">
        <f t="shared" si="21"/>
        <v>90.196078431372555</v>
      </c>
      <c r="Q356" s="2">
        <f t="shared" si="22"/>
        <v>1476</v>
      </c>
      <c r="R356" s="5" t="str">
        <f t="shared" si="23"/>
        <v>Below Average</v>
      </c>
      <c r="S356" s="5" t="str">
        <f>Table1[[#This Row],[Quarter]]&amp;" - "&amp;Table1[[#This Row],[City]]</f>
        <v>Q2 - Mumbai</v>
      </c>
    </row>
    <row r="357" spans="1:19" x14ac:dyDescent="0.3">
      <c r="A357" t="s">
        <v>420</v>
      </c>
      <c r="B357" s="1">
        <v>45433</v>
      </c>
      <c r="C357" t="s">
        <v>363</v>
      </c>
      <c r="D357" t="s">
        <v>310</v>
      </c>
      <c r="E357" t="s">
        <v>34</v>
      </c>
      <c r="F357" t="s">
        <v>16</v>
      </c>
      <c r="G357" t="s">
        <v>44</v>
      </c>
      <c r="H357">
        <v>4</v>
      </c>
      <c r="I357">
        <v>1170</v>
      </c>
      <c r="J357">
        <v>10</v>
      </c>
      <c r="K357">
        <v>4212</v>
      </c>
      <c r="L357" t="s">
        <v>36</v>
      </c>
      <c r="M357" s="2">
        <f>Table1[[#This Row],[Revenue_INR]]-Table1[[#This Row],[Price_INR]]</f>
        <v>3042</v>
      </c>
      <c r="N357">
        <f>YEAR(Table1[[#This Row],[Date]])</f>
        <v>2024</v>
      </c>
      <c r="O357" s="2">
        <f t="shared" si="20"/>
        <v>1053</v>
      </c>
      <c r="P357" s="7">
        <f t="shared" si="21"/>
        <v>72.222222222222214</v>
      </c>
      <c r="Q357" s="2">
        <f t="shared" si="22"/>
        <v>468</v>
      </c>
      <c r="R357" s="5" t="str">
        <f t="shared" si="23"/>
        <v>Below Average</v>
      </c>
      <c r="S357" s="5" t="str">
        <f>Table1[[#This Row],[Quarter]]&amp;" - "&amp;Table1[[#This Row],[City]]</f>
        <v>Q2 - Delhi</v>
      </c>
    </row>
    <row r="358" spans="1:19" x14ac:dyDescent="0.3">
      <c r="A358" t="s">
        <v>421</v>
      </c>
      <c r="B358" s="1">
        <v>45433</v>
      </c>
      <c r="C358" t="s">
        <v>363</v>
      </c>
      <c r="D358" t="s">
        <v>310</v>
      </c>
      <c r="E358" t="s">
        <v>25</v>
      </c>
      <c r="F358" t="s">
        <v>31</v>
      </c>
      <c r="G358" t="s">
        <v>131</v>
      </c>
      <c r="H358">
        <v>12</v>
      </c>
      <c r="I358">
        <v>4860</v>
      </c>
      <c r="J358">
        <v>30</v>
      </c>
      <c r="K358">
        <v>40824</v>
      </c>
      <c r="L358" t="s">
        <v>66</v>
      </c>
      <c r="M358" s="2">
        <f>Table1[[#This Row],[Revenue_INR]]-Table1[[#This Row],[Price_INR]]</f>
        <v>35964</v>
      </c>
      <c r="N358">
        <f>YEAR(Table1[[#This Row],[Date]])</f>
        <v>2024</v>
      </c>
      <c r="O358" s="2">
        <f t="shared" si="20"/>
        <v>3402</v>
      </c>
      <c r="P358" s="7">
        <f t="shared" si="21"/>
        <v>88.095238095238088</v>
      </c>
      <c r="Q358" s="2">
        <f t="shared" si="22"/>
        <v>17496</v>
      </c>
      <c r="R358" s="5" t="str">
        <f t="shared" si="23"/>
        <v>Above Average</v>
      </c>
      <c r="S358" s="5" t="str">
        <f>Table1[[#This Row],[Quarter]]&amp;" - "&amp;Table1[[#This Row],[City]]</f>
        <v>Q2 - Hyderabad</v>
      </c>
    </row>
    <row r="359" spans="1:19" x14ac:dyDescent="0.3">
      <c r="A359" t="s">
        <v>422</v>
      </c>
      <c r="B359" s="1">
        <v>45433</v>
      </c>
      <c r="C359" t="s">
        <v>363</v>
      </c>
      <c r="D359" t="s">
        <v>310</v>
      </c>
      <c r="E359" t="s">
        <v>34</v>
      </c>
      <c r="F359" t="s">
        <v>31</v>
      </c>
      <c r="G359" t="s">
        <v>38</v>
      </c>
      <c r="H359">
        <v>10</v>
      </c>
      <c r="I359">
        <v>2400</v>
      </c>
      <c r="J359">
        <v>25</v>
      </c>
      <c r="K359">
        <v>18000</v>
      </c>
      <c r="L359" t="s">
        <v>36</v>
      </c>
      <c r="M359" s="2">
        <f>Table1[[#This Row],[Revenue_INR]]-Table1[[#This Row],[Price_INR]]</f>
        <v>15600</v>
      </c>
      <c r="N359">
        <f>YEAR(Table1[[#This Row],[Date]])</f>
        <v>2024</v>
      </c>
      <c r="O359" s="2">
        <f t="shared" si="20"/>
        <v>1800</v>
      </c>
      <c r="P359" s="7">
        <f t="shared" si="21"/>
        <v>86.666666666666671</v>
      </c>
      <c r="Q359" s="2">
        <f t="shared" si="22"/>
        <v>6000</v>
      </c>
      <c r="R359" s="5" t="str">
        <f t="shared" si="23"/>
        <v>Below Average</v>
      </c>
      <c r="S359" s="5" t="str">
        <f>Table1[[#This Row],[Quarter]]&amp;" - "&amp;Table1[[#This Row],[City]]</f>
        <v>Q2 - Delhi</v>
      </c>
    </row>
    <row r="360" spans="1:19" x14ac:dyDescent="0.3">
      <c r="A360" t="s">
        <v>423</v>
      </c>
      <c r="B360" s="1">
        <v>45434</v>
      </c>
      <c r="C360" t="s">
        <v>363</v>
      </c>
      <c r="D360" t="s">
        <v>310</v>
      </c>
      <c r="E360" t="s">
        <v>25</v>
      </c>
      <c r="F360" t="s">
        <v>21</v>
      </c>
      <c r="G360" t="s">
        <v>94</v>
      </c>
      <c r="H360">
        <v>3</v>
      </c>
      <c r="I360">
        <v>880</v>
      </c>
      <c r="J360">
        <v>30</v>
      </c>
      <c r="K360">
        <v>1848</v>
      </c>
      <c r="L360" t="s">
        <v>66</v>
      </c>
      <c r="M360" s="2">
        <f>Table1[[#This Row],[Revenue_INR]]-Table1[[#This Row],[Price_INR]]</f>
        <v>968</v>
      </c>
      <c r="N360">
        <f>YEAR(Table1[[#This Row],[Date]])</f>
        <v>2024</v>
      </c>
      <c r="O360" s="2">
        <f t="shared" si="20"/>
        <v>616</v>
      </c>
      <c r="P360" s="7">
        <f t="shared" si="21"/>
        <v>52.380952380952387</v>
      </c>
      <c r="Q360" s="2">
        <f t="shared" si="22"/>
        <v>792</v>
      </c>
      <c r="R360" s="5" t="str">
        <f t="shared" si="23"/>
        <v>Below Average</v>
      </c>
      <c r="S360" s="5" t="str">
        <f>Table1[[#This Row],[Quarter]]&amp;" - "&amp;Table1[[#This Row],[City]]</f>
        <v>Q2 - Hyderabad</v>
      </c>
    </row>
    <row r="361" spans="1:19" x14ac:dyDescent="0.3">
      <c r="A361" t="s">
        <v>424</v>
      </c>
      <c r="B361" s="1">
        <v>45434</v>
      </c>
      <c r="C361" t="s">
        <v>363</v>
      </c>
      <c r="D361" t="s">
        <v>310</v>
      </c>
      <c r="E361" t="s">
        <v>34</v>
      </c>
      <c r="F361" t="s">
        <v>47</v>
      </c>
      <c r="G361" t="s">
        <v>55</v>
      </c>
      <c r="H361">
        <v>2</v>
      </c>
      <c r="I361">
        <v>2890</v>
      </c>
      <c r="J361">
        <v>30</v>
      </c>
      <c r="K361">
        <v>4046</v>
      </c>
      <c r="L361" t="s">
        <v>49</v>
      </c>
      <c r="M361" s="2">
        <f>Table1[[#This Row],[Revenue_INR]]-Table1[[#This Row],[Price_INR]]</f>
        <v>1156</v>
      </c>
      <c r="N361">
        <f>YEAR(Table1[[#This Row],[Date]])</f>
        <v>2024</v>
      </c>
      <c r="O361" s="2">
        <f t="shared" si="20"/>
        <v>2023</v>
      </c>
      <c r="P361" s="7">
        <f t="shared" si="21"/>
        <v>28.571428571428569</v>
      </c>
      <c r="Q361" s="2">
        <f t="shared" si="22"/>
        <v>1734</v>
      </c>
      <c r="R361" s="5" t="str">
        <f t="shared" si="23"/>
        <v>Below Average</v>
      </c>
      <c r="S361" s="5" t="str">
        <f>Table1[[#This Row],[Quarter]]&amp;" - "&amp;Table1[[#This Row],[City]]</f>
        <v>Q2 - Delhi</v>
      </c>
    </row>
    <row r="362" spans="1:19" x14ac:dyDescent="0.3">
      <c r="A362" t="s">
        <v>425</v>
      </c>
      <c r="B362" s="1">
        <v>45434</v>
      </c>
      <c r="C362" t="s">
        <v>363</v>
      </c>
      <c r="D362" t="s">
        <v>310</v>
      </c>
      <c r="E362" t="s">
        <v>34</v>
      </c>
      <c r="F362" t="s">
        <v>16</v>
      </c>
      <c r="G362" t="s">
        <v>17</v>
      </c>
      <c r="H362">
        <v>4</v>
      </c>
      <c r="I362">
        <v>1950</v>
      </c>
      <c r="J362">
        <v>5</v>
      </c>
      <c r="K362">
        <v>7410</v>
      </c>
      <c r="L362" t="s">
        <v>36</v>
      </c>
      <c r="M362" s="2">
        <f>Table1[[#This Row],[Revenue_INR]]-Table1[[#This Row],[Price_INR]]</f>
        <v>5460</v>
      </c>
      <c r="N362">
        <f>YEAR(Table1[[#This Row],[Date]])</f>
        <v>2024</v>
      </c>
      <c r="O362" s="2">
        <f t="shared" si="20"/>
        <v>1852.5</v>
      </c>
      <c r="P362" s="7">
        <f t="shared" si="21"/>
        <v>73.68421052631578</v>
      </c>
      <c r="Q362" s="2">
        <f t="shared" si="22"/>
        <v>390</v>
      </c>
      <c r="R362" s="5" t="str">
        <f t="shared" si="23"/>
        <v>Below Average</v>
      </c>
      <c r="S362" s="5" t="str">
        <f>Table1[[#This Row],[Quarter]]&amp;" - "&amp;Table1[[#This Row],[City]]</f>
        <v>Q2 - Delhi</v>
      </c>
    </row>
    <row r="363" spans="1:19" x14ac:dyDescent="0.3">
      <c r="A363" t="s">
        <v>426</v>
      </c>
      <c r="B363" s="1">
        <v>45435</v>
      </c>
      <c r="C363" t="s">
        <v>363</v>
      </c>
      <c r="D363" t="s">
        <v>310</v>
      </c>
      <c r="E363" t="s">
        <v>25</v>
      </c>
      <c r="F363" t="s">
        <v>47</v>
      </c>
      <c r="G363" t="s">
        <v>51</v>
      </c>
      <c r="H363">
        <v>9</v>
      </c>
      <c r="I363">
        <v>3610</v>
      </c>
      <c r="J363">
        <v>25</v>
      </c>
      <c r="K363">
        <v>24367.5</v>
      </c>
      <c r="L363" t="s">
        <v>42</v>
      </c>
      <c r="M363" s="2">
        <f>Table1[[#This Row],[Revenue_INR]]-Table1[[#This Row],[Price_INR]]</f>
        <v>20757.5</v>
      </c>
      <c r="N363">
        <f>YEAR(Table1[[#This Row],[Date]])</f>
        <v>2024</v>
      </c>
      <c r="O363" s="2">
        <f t="shared" si="20"/>
        <v>2707.5</v>
      </c>
      <c r="P363" s="7">
        <f t="shared" si="21"/>
        <v>85.18518518518519</v>
      </c>
      <c r="Q363" s="2">
        <f t="shared" si="22"/>
        <v>8122.5</v>
      </c>
      <c r="R363" s="5" t="str">
        <f t="shared" si="23"/>
        <v>Below Average</v>
      </c>
      <c r="S363" s="5" t="str">
        <f>Table1[[#This Row],[Quarter]]&amp;" - "&amp;Table1[[#This Row],[City]]</f>
        <v>Q2 - Hyderabad</v>
      </c>
    </row>
    <row r="364" spans="1:19" x14ac:dyDescent="0.3">
      <c r="A364" t="s">
        <v>427</v>
      </c>
      <c r="B364" s="1">
        <v>45435</v>
      </c>
      <c r="C364" t="s">
        <v>363</v>
      </c>
      <c r="D364" t="s">
        <v>310</v>
      </c>
      <c r="E364" t="s">
        <v>34</v>
      </c>
      <c r="F364" t="s">
        <v>21</v>
      </c>
      <c r="G364" t="s">
        <v>75</v>
      </c>
      <c r="H364">
        <v>4</v>
      </c>
      <c r="I364">
        <v>1660</v>
      </c>
      <c r="J364">
        <v>0</v>
      </c>
      <c r="K364">
        <v>6640</v>
      </c>
      <c r="L364" t="s">
        <v>45</v>
      </c>
      <c r="M364" s="2">
        <f>Table1[[#This Row],[Revenue_INR]]-Table1[[#This Row],[Price_INR]]</f>
        <v>4980</v>
      </c>
      <c r="N364">
        <f>YEAR(Table1[[#This Row],[Date]])</f>
        <v>2024</v>
      </c>
      <c r="O364" s="2">
        <f t="shared" si="20"/>
        <v>1660</v>
      </c>
      <c r="P364" s="7">
        <f t="shared" si="21"/>
        <v>75</v>
      </c>
      <c r="Q364" s="2">
        <f t="shared" si="22"/>
        <v>0</v>
      </c>
      <c r="R364" s="5" t="str">
        <f t="shared" si="23"/>
        <v>Below Average</v>
      </c>
      <c r="S364" s="5" t="str">
        <f>Table1[[#This Row],[Quarter]]&amp;" - "&amp;Table1[[#This Row],[City]]</f>
        <v>Q2 - Delhi</v>
      </c>
    </row>
    <row r="365" spans="1:19" x14ac:dyDescent="0.3">
      <c r="A365" t="s">
        <v>428</v>
      </c>
      <c r="B365" s="1">
        <v>45435</v>
      </c>
      <c r="C365" t="s">
        <v>363</v>
      </c>
      <c r="D365" t="s">
        <v>310</v>
      </c>
      <c r="E365" t="s">
        <v>25</v>
      </c>
      <c r="F365" t="s">
        <v>31</v>
      </c>
      <c r="G365" t="s">
        <v>32</v>
      </c>
      <c r="H365">
        <v>10</v>
      </c>
      <c r="I365">
        <v>1160</v>
      </c>
      <c r="J365">
        <v>0</v>
      </c>
      <c r="K365">
        <v>11600</v>
      </c>
      <c r="L365" t="s">
        <v>42</v>
      </c>
      <c r="M365" s="2">
        <f>Table1[[#This Row],[Revenue_INR]]-Table1[[#This Row],[Price_INR]]</f>
        <v>10440</v>
      </c>
      <c r="N365">
        <f>YEAR(Table1[[#This Row],[Date]])</f>
        <v>2024</v>
      </c>
      <c r="O365" s="2">
        <f t="shared" si="20"/>
        <v>1160</v>
      </c>
      <c r="P365" s="7">
        <f t="shared" si="21"/>
        <v>90</v>
      </c>
      <c r="Q365" s="2">
        <f t="shared" si="22"/>
        <v>0</v>
      </c>
      <c r="R365" s="5" t="str">
        <f t="shared" si="23"/>
        <v>Below Average</v>
      </c>
      <c r="S365" s="5" t="str">
        <f>Table1[[#This Row],[Quarter]]&amp;" - "&amp;Table1[[#This Row],[City]]</f>
        <v>Q2 - Hyderabad</v>
      </c>
    </row>
    <row r="366" spans="1:19" x14ac:dyDescent="0.3">
      <c r="A366" t="s">
        <v>429</v>
      </c>
      <c r="B366" s="1">
        <v>45436</v>
      </c>
      <c r="C366" t="s">
        <v>363</v>
      </c>
      <c r="D366" t="s">
        <v>310</v>
      </c>
      <c r="E366" t="s">
        <v>34</v>
      </c>
      <c r="F366" t="s">
        <v>26</v>
      </c>
      <c r="G366" t="s">
        <v>82</v>
      </c>
      <c r="H366">
        <v>4</v>
      </c>
      <c r="I366">
        <v>1630</v>
      </c>
      <c r="J366">
        <v>25</v>
      </c>
      <c r="K366">
        <v>4890</v>
      </c>
      <c r="L366" t="s">
        <v>49</v>
      </c>
      <c r="M366" s="2">
        <f>Table1[[#This Row],[Revenue_INR]]-Table1[[#This Row],[Price_INR]]</f>
        <v>3260</v>
      </c>
      <c r="N366">
        <f>YEAR(Table1[[#This Row],[Date]])</f>
        <v>2024</v>
      </c>
      <c r="O366" s="2">
        <f t="shared" si="20"/>
        <v>1222.5</v>
      </c>
      <c r="P366" s="7">
        <f t="shared" si="21"/>
        <v>66.666666666666657</v>
      </c>
      <c r="Q366" s="2">
        <f t="shared" si="22"/>
        <v>1630</v>
      </c>
      <c r="R366" s="5" t="str">
        <f t="shared" si="23"/>
        <v>Below Average</v>
      </c>
      <c r="S366" s="5" t="str">
        <f>Table1[[#This Row],[Quarter]]&amp;" - "&amp;Table1[[#This Row],[City]]</f>
        <v>Q2 - Delhi</v>
      </c>
    </row>
    <row r="367" spans="1:19" x14ac:dyDescent="0.3">
      <c r="A367" t="s">
        <v>430</v>
      </c>
      <c r="B367" s="1">
        <v>45436</v>
      </c>
      <c r="C367" t="s">
        <v>363</v>
      </c>
      <c r="D367" t="s">
        <v>310</v>
      </c>
      <c r="E367" t="s">
        <v>25</v>
      </c>
      <c r="F367" t="s">
        <v>47</v>
      </c>
      <c r="G367" t="s">
        <v>55</v>
      </c>
      <c r="H367">
        <v>10</v>
      </c>
      <c r="I367">
        <v>5580</v>
      </c>
      <c r="J367">
        <v>0</v>
      </c>
      <c r="K367">
        <v>55800</v>
      </c>
      <c r="L367" t="s">
        <v>42</v>
      </c>
      <c r="M367" s="2">
        <f>Table1[[#This Row],[Revenue_INR]]-Table1[[#This Row],[Price_INR]]</f>
        <v>50220</v>
      </c>
      <c r="N367">
        <f>YEAR(Table1[[#This Row],[Date]])</f>
        <v>2024</v>
      </c>
      <c r="O367" s="2">
        <f t="shared" si="20"/>
        <v>5580</v>
      </c>
      <c r="P367" s="7">
        <f t="shared" si="21"/>
        <v>90</v>
      </c>
      <c r="Q367" s="2">
        <f t="shared" si="22"/>
        <v>0</v>
      </c>
      <c r="R367" s="5" t="str">
        <f t="shared" si="23"/>
        <v>Above Average</v>
      </c>
      <c r="S367" s="5" t="str">
        <f>Table1[[#This Row],[Quarter]]&amp;" - "&amp;Table1[[#This Row],[City]]</f>
        <v>Q2 - Hyderabad</v>
      </c>
    </row>
    <row r="368" spans="1:19" x14ac:dyDescent="0.3">
      <c r="A368" t="s">
        <v>431</v>
      </c>
      <c r="B368" s="1">
        <v>45436</v>
      </c>
      <c r="C368" t="s">
        <v>363</v>
      </c>
      <c r="D368" t="s">
        <v>310</v>
      </c>
      <c r="E368" t="s">
        <v>20</v>
      </c>
      <c r="F368" t="s">
        <v>60</v>
      </c>
      <c r="G368" t="s">
        <v>61</v>
      </c>
      <c r="H368">
        <v>12</v>
      </c>
      <c r="I368">
        <v>1600</v>
      </c>
      <c r="J368">
        <v>5</v>
      </c>
      <c r="K368">
        <v>18240</v>
      </c>
      <c r="L368" t="s">
        <v>39</v>
      </c>
      <c r="M368" s="2">
        <f>Table1[[#This Row],[Revenue_INR]]-Table1[[#This Row],[Price_INR]]</f>
        <v>16640</v>
      </c>
      <c r="N368">
        <f>YEAR(Table1[[#This Row],[Date]])</f>
        <v>2024</v>
      </c>
      <c r="O368" s="2">
        <f t="shared" si="20"/>
        <v>1520</v>
      </c>
      <c r="P368" s="7">
        <f t="shared" si="21"/>
        <v>91.228070175438589</v>
      </c>
      <c r="Q368" s="2">
        <f t="shared" si="22"/>
        <v>960</v>
      </c>
      <c r="R368" s="5" t="str">
        <f t="shared" si="23"/>
        <v>Below Average</v>
      </c>
      <c r="S368" s="5" t="str">
        <f>Table1[[#This Row],[Quarter]]&amp;" - "&amp;Table1[[#This Row],[City]]</f>
        <v>Q2 - Mumbai</v>
      </c>
    </row>
    <row r="369" spans="1:19" x14ac:dyDescent="0.3">
      <c r="A369" t="s">
        <v>432</v>
      </c>
      <c r="B369" s="1">
        <v>45437</v>
      </c>
      <c r="C369" t="s">
        <v>363</v>
      </c>
      <c r="D369" t="s">
        <v>310</v>
      </c>
      <c r="E369" t="s">
        <v>34</v>
      </c>
      <c r="F369" t="s">
        <v>31</v>
      </c>
      <c r="G369" t="s">
        <v>32</v>
      </c>
      <c r="H369">
        <v>4</v>
      </c>
      <c r="I369">
        <v>4360</v>
      </c>
      <c r="J369">
        <v>0</v>
      </c>
      <c r="K369">
        <v>17440</v>
      </c>
      <c r="L369" t="s">
        <v>36</v>
      </c>
      <c r="M369" s="2">
        <f>Table1[[#This Row],[Revenue_INR]]-Table1[[#This Row],[Price_INR]]</f>
        <v>13080</v>
      </c>
      <c r="N369">
        <f>YEAR(Table1[[#This Row],[Date]])</f>
        <v>2024</v>
      </c>
      <c r="O369" s="2">
        <f t="shared" si="20"/>
        <v>4360</v>
      </c>
      <c r="P369" s="7">
        <f t="shared" si="21"/>
        <v>75</v>
      </c>
      <c r="Q369" s="2">
        <f t="shared" si="22"/>
        <v>0</v>
      </c>
      <c r="R369" s="5" t="str">
        <f t="shared" si="23"/>
        <v>Below Average</v>
      </c>
      <c r="S369" s="5" t="str">
        <f>Table1[[#This Row],[Quarter]]&amp;" - "&amp;Table1[[#This Row],[City]]</f>
        <v>Q2 - Delhi</v>
      </c>
    </row>
    <row r="370" spans="1:19" x14ac:dyDescent="0.3">
      <c r="A370" t="s">
        <v>433</v>
      </c>
      <c r="B370" s="1">
        <v>45438</v>
      </c>
      <c r="C370" t="s">
        <v>363</v>
      </c>
      <c r="D370" t="s">
        <v>310</v>
      </c>
      <c r="E370" t="s">
        <v>25</v>
      </c>
      <c r="F370" t="s">
        <v>31</v>
      </c>
      <c r="G370" t="s">
        <v>35</v>
      </c>
      <c r="H370">
        <v>5</v>
      </c>
      <c r="I370">
        <v>2990</v>
      </c>
      <c r="J370">
        <v>30</v>
      </c>
      <c r="K370">
        <v>10465</v>
      </c>
      <c r="L370" t="s">
        <v>28</v>
      </c>
      <c r="M370" s="2">
        <f>Table1[[#This Row],[Revenue_INR]]-Table1[[#This Row],[Price_INR]]</f>
        <v>7475</v>
      </c>
      <c r="N370">
        <f>YEAR(Table1[[#This Row],[Date]])</f>
        <v>2024</v>
      </c>
      <c r="O370" s="2">
        <f t="shared" si="20"/>
        <v>2093</v>
      </c>
      <c r="P370" s="7">
        <f t="shared" si="21"/>
        <v>71.428571428571431</v>
      </c>
      <c r="Q370" s="2">
        <f t="shared" si="22"/>
        <v>4485</v>
      </c>
      <c r="R370" s="5" t="str">
        <f t="shared" si="23"/>
        <v>Below Average</v>
      </c>
      <c r="S370" s="5" t="str">
        <f>Table1[[#This Row],[Quarter]]&amp;" - "&amp;Table1[[#This Row],[City]]</f>
        <v>Q2 - Hyderabad</v>
      </c>
    </row>
    <row r="371" spans="1:19" x14ac:dyDescent="0.3">
      <c r="A371" t="s">
        <v>434</v>
      </c>
      <c r="B371" s="1">
        <v>45438</v>
      </c>
      <c r="C371" t="s">
        <v>363</v>
      </c>
      <c r="D371" t="s">
        <v>310</v>
      </c>
      <c r="E371" t="s">
        <v>20</v>
      </c>
      <c r="F371" t="s">
        <v>16</v>
      </c>
      <c r="G371" t="s">
        <v>17</v>
      </c>
      <c r="H371">
        <v>3</v>
      </c>
      <c r="I371">
        <v>2440</v>
      </c>
      <c r="J371">
        <v>0</v>
      </c>
      <c r="K371">
        <v>7320</v>
      </c>
      <c r="L371" t="s">
        <v>23</v>
      </c>
      <c r="M371" s="2">
        <f>Table1[[#This Row],[Revenue_INR]]-Table1[[#This Row],[Price_INR]]</f>
        <v>4880</v>
      </c>
      <c r="N371">
        <f>YEAR(Table1[[#This Row],[Date]])</f>
        <v>2024</v>
      </c>
      <c r="O371" s="2">
        <f t="shared" si="20"/>
        <v>2440</v>
      </c>
      <c r="P371" s="7">
        <f t="shared" si="21"/>
        <v>66.666666666666657</v>
      </c>
      <c r="Q371" s="2">
        <f t="shared" si="22"/>
        <v>0</v>
      </c>
      <c r="R371" s="5" t="str">
        <f t="shared" si="23"/>
        <v>Below Average</v>
      </c>
      <c r="S371" s="5" t="str">
        <f>Table1[[#This Row],[Quarter]]&amp;" - "&amp;Table1[[#This Row],[City]]</f>
        <v>Q2 - Mumbai</v>
      </c>
    </row>
    <row r="372" spans="1:19" x14ac:dyDescent="0.3">
      <c r="A372" t="s">
        <v>435</v>
      </c>
      <c r="B372" s="1">
        <v>45439</v>
      </c>
      <c r="C372" t="s">
        <v>363</v>
      </c>
      <c r="D372" t="s">
        <v>310</v>
      </c>
      <c r="E372" t="s">
        <v>20</v>
      </c>
      <c r="F372" t="s">
        <v>21</v>
      </c>
      <c r="G372" t="s">
        <v>71</v>
      </c>
      <c r="H372">
        <v>7</v>
      </c>
      <c r="I372">
        <v>1030</v>
      </c>
      <c r="J372">
        <v>5</v>
      </c>
      <c r="K372">
        <v>6849.5</v>
      </c>
      <c r="L372" t="s">
        <v>39</v>
      </c>
      <c r="M372" s="2">
        <f>Table1[[#This Row],[Revenue_INR]]-Table1[[#This Row],[Price_INR]]</f>
        <v>5819.5</v>
      </c>
      <c r="N372">
        <f>YEAR(Table1[[#This Row],[Date]])</f>
        <v>2024</v>
      </c>
      <c r="O372" s="2">
        <f t="shared" si="20"/>
        <v>978.5</v>
      </c>
      <c r="P372" s="7">
        <f t="shared" si="21"/>
        <v>84.962406015037601</v>
      </c>
      <c r="Q372" s="2">
        <f t="shared" si="22"/>
        <v>360.5</v>
      </c>
      <c r="R372" s="5" t="str">
        <f t="shared" si="23"/>
        <v>Below Average</v>
      </c>
      <c r="S372" s="5" t="str">
        <f>Table1[[#This Row],[Quarter]]&amp;" - "&amp;Table1[[#This Row],[City]]</f>
        <v>Q2 - Mumbai</v>
      </c>
    </row>
    <row r="373" spans="1:19" x14ac:dyDescent="0.3">
      <c r="A373" t="s">
        <v>436</v>
      </c>
      <c r="B373" s="1">
        <v>45440</v>
      </c>
      <c r="C373" t="s">
        <v>363</v>
      </c>
      <c r="D373" t="s">
        <v>310</v>
      </c>
      <c r="E373" t="s">
        <v>34</v>
      </c>
      <c r="F373" t="s">
        <v>47</v>
      </c>
      <c r="G373" t="s">
        <v>48</v>
      </c>
      <c r="H373">
        <v>13</v>
      </c>
      <c r="I373">
        <v>8720</v>
      </c>
      <c r="J373">
        <v>10</v>
      </c>
      <c r="K373">
        <v>102024</v>
      </c>
      <c r="L373" t="s">
        <v>45</v>
      </c>
      <c r="M373" s="2">
        <f>Table1[[#This Row],[Revenue_INR]]-Table1[[#This Row],[Price_INR]]</f>
        <v>93304</v>
      </c>
      <c r="N373">
        <f>YEAR(Table1[[#This Row],[Date]])</f>
        <v>2024</v>
      </c>
      <c r="O373" s="2">
        <f t="shared" si="20"/>
        <v>7848</v>
      </c>
      <c r="P373" s="7">
        <f t="shared" si="21"/>
        <v>91.452991452991455</v>
      </c>
      <c r="Q373" s="2">
        <f t="shared" si="22"/>
        <v>11336</v>
      </c>
      <c r="R373" s="5" t="str">
        <f t="shared" si="23"/>
        <v>Above Average</v>
      </c>
      <c r="S373" s="5" t="str">
        <f>Table1[[#This Row],[Quarter]]&amp;" - "&amp;Table1[[#This Row],[City]]</f>
        <v>Q2 - Delhi</v>
      </c>
    </row>
    <row r="374" spans="1:19" x14ac:dyDescent="0.3">
      <c r="A374" t="s">
        <v>437</v>
      </c>
      <c r="B374" s="1">
        <v>45440</v>
      </c>
      <c r="C374" t="s">
        <v>363</v>
      </c>
      <c r="D374" t="s">
        <v>310</v>
      </c>
      <c r="E374" t="s">
        <v>25</v>
      </c>
      <c r="F374" t="s">
        <v>31</v>
      </c>
      <c r="G374" t="s">
        <v>32</v>
      </c>
      <c r="H374">
        <v>13</v>
      </c>
      <c r="I374">
        <v>4840</v>
      </c>
      <c r="J374">
        <v>10</v>
      </c>
      <c r="K374">
        <v>56628</v>
      </c>
      <c r="L374" t="s">
        <v>28</v>
      </c>
      <c r="M374" s="2">
        <f>Table1[[#This Row],[Revenue_INR]]-Table1[[#This Row],[Price_INR]]</f>
        <v>51788</v>
      </c>
      <c r="N374">
        <f>YEAR(Table1[[#This Row],[Date]])</f>
        <v>2024</v>
      </c>
      <c r="O374" s="2">
        <f t="shared" si="20"/>
        <v>4356</v>
      </c>
      <c r="P374" s="7">
        <f t="shared" si="21"/>
        <v>91.452991452991455</v>
      </c>
      <c r="Q374" s="2">
        <f t="shared" si="22"/>
        <v>6292</v>
      </c>
      <c r="R374" s="5" t="str">
        <f t="shared" si="23"/>
        <v>Above Average</v>
      </c>
      <c r="S374" s="5" t="str">
        <f>Table1[[#This Row],[Quarter]]&amp;" - "&amp;Table1[[#This Row],[City]]</f>
        <v>Q2 - Hyderabad</v>
      </c>
    </row>
    <row r="375" spans="1:19" x14ac:dyDescent="0.3">
      <c r="A375" t="s">
        <v>438</v>
      </c>
      <c r="B375" s="1">
        <v>45440</v>
      </c>
      <c r="C375" t="s">
        <v>363</v>
      </c>
      <c r="D375" t="s">
        <v>310</v>
      </c>
      <c r="E375" t="s">
        <v>15</v>
      </c>
      <c r="F375" t="s">
        <v>16</v>
      </c>
      <c r="G375" t="s">
        <v>44</v>
      </c>
      <c r="H375">
        <v>14</v>
      </c>
      <c r="I375">
        <v>840</v>
      </c>
      <c r="J375">
        <v>15</v>
      </c>
      <c r="K375">
        <v>9996</v>
      </c>
      <c r="L375" t="s">
        <v>18</v>
      </c>
      <c r="M375" s="2">
        <f>Table1[[#This Row],[Revenue_INR]]-Table1[[#This Row],[Price_INR]]</f>
        <v>9156</v>
      </c>
      <c r="N375">
        <f>YEAR(Table1[[#This Row],[Date]])</f>
        <v>2024</v>
      </c>
      <c r="O375" s="2">
        <f t="shared" si="20"/>
        <v>714</v>
      </c>
      <c r="P375" s="7">
        <f t="shared" si="21"/>
        <v>91.596638655462186</v>
      </c>
      <c r="Q375" s="2">
        <f t="shared" si="22"/>
        <v>1764</v>
      </c>
      <c r="R375" s="5" t="str">
        <f t="shared" si="23"/>
        <v>Below Average</v>
      </c>
      <c r="S375" s="5" t="str">
        <f>Table1[[#This Row],[Quarter]]&amp;" - "&amp;Table1[[#This Row],[City]]</f>
        <v>Q2 - Kolkata</v>
      </c>
    </row>
    <row r="376" spans="1:19" x14ac:dyDescent="0.3">
      <c r="A376" t="s">
        <v>439</v>
      </c>
      <c r="B376" s="1">
        <v>45440</v>
      </c>
      <c r="C376" t="s">
        <v>363</v>
      </c>
      <c r="D376" t="s">
        <v>310</v>
      </c>
      <c r="E376" t="s">
        <v>20</v>
      </c>
      <c r="F376" t="s">
        <v>16</v>
      </c>
      <c r="G376" t="s">
        <v>69</v>
      </c>
      <c r="H376">
        <v>9</v>
      </c>
      <c r="I376">
        <v>1260</v>
      </c>
      <c r="J376">
        <v>0</v>
      </c>
      <c r="K376">
        <v>11340</v>
      </c>
      <c r="L376" t="s">
        <v>77</v>
      </c>
      <c r="M376" s="2">
        <f>Table1[[#This Row],[Revenue_INR]]-Table1[[#This Row],[Price_INR]]</f>
        <v>10080</v>
      </c>
      <c r="N376">
        <f>YEAR(Table1[[#This Row],[Date]])</f>
        <v>2024</v>
      </c>
      <c r="O376" s="2">
        <f t="shared" si="20"/>
        <v>1260</v>
      </c>
      <c r="P376" s="7">
        <f t="shared" si="21"/>
        <v>88.888888888888886</v>
      </c>
      <c r="Q376" s="2">
        <f t="shared" si="22"/>
        <v>0</v>
      </c>
      <c r="R376" s="5" t="str">
        <f t="shared" si="23"/>
        <v>Below Average</v>
      </c>
      <c r="S376" s="5" t="str">
        <f>Table1[[#This Row],[Quarter]]&amp;" - "&amp;Table1[[#This Row],[City]]</f>
        <v>Q2 - Mumbai</v>
      </c>
    </row>
    <row r="377" spans="1:19" x14ac:dyDescent="0.3">
      <c r="A377" t="s">
        <v>440</v>
      </c>
      <c r="B377" s="1">
        <v>45440</v>
      </c>
      <c r="C377" t="s">
        <v>363</v>
      </c>
      <c r="D377" t="s">
        <v>310</v>
      </c>
      <c r="E377" t="s">
        <v>34</v>
      </c>
      <c r="F377" t="s">
        <v>16</v>
      </c>
      <c r="G377" t="s">
        <v>17</v>
      </c>
      <c r="H377">
        <v>9</v>
      </c>
      <c r="I377">
        <v>2210</v>
      </c>
      <c r="J377">
        <v>20</v>
      </c>
      <c r="K377">
        <v>15912</v>
      </c>
      <c r="L377" t="s">
        <v>49</v>
      </c>
      <c r="M377" s="2">
        <f>Table1[[#This Row],[Revenue_INR]]-Table1[[#This Row],[Price_INR]]</f>
        <v>13702</v>
      </c>
      <c r="N377">
        <f>YEAR(Table1[[#This Row],[Date]])</f>
        <v>2024</v>
      </c>
      <c r="O377" s="2">
        <f t="shared" si="20"/>
        <v>1768</v>
      </c>
      <c r="P377" s="7">
        <f t="shared" si="21"/>
        <v>86.111111111111114</v>
      </c>
      <c r="Q377" s="2">
        <f t="shared" si="22"/>
        <v>3978</v>
      </c>
      <c r="R377" s="5" t="str">
        <f t="shared" si="23"/>
        <v>Below Average</v>
      </c>
      <c r="S377" s="5" t="str">
        <f>Table1[[#This Row],[Quarter]]&amp;" - "&amp;Table1[[#This Row],[City]]</f>
        <v>Q2 - Delhi</v>
      </c>
    </row>
    <row r="378" spans="1:19" x14ac:dyDescent="0.3">
      <c r="A378" t="s">
        <v>441</v>
      </c>
      <c r="B378" s="1">
        <v>45441</v>
      </c>
      <c r="C378" t="s">
        <v>363</v>
      </c>
      <c r="D378" t="s">
        <v>310</v>
      </c>
      <c r="E378" t="s">
        <v>20</v>
      </c>
      <c r="F378" t="s">
        <v>26</v>
      </c>
      <c r="G378" t="s">
        <v>80</v>
      </c>
      <c r="H378">
        <v>3</v>
      </c>
      <c r="I378">
        <v>6500</v>
      </c>
      <c r="J378">
        <v>5</v>
      </c>
      <c r="K378">
        <v>18525</v>
      </c>
      <c r="L378" t="s">
        <v>23</v>
      </c>
      <c r="M378" s="2">
        <f>Table1[[#This Row],[Revenue_INR]]-Table1[[#This Row],[Price_INR]]</f>
        <v>12025</v>
      </c>
      <c r="N378">
        <f>YEAR(Table1[[#This Row],[Date]])</f>
        <v>2024</v>
      </c>
      <c r="O378" s="2">
        <f t="shared" si="20"/>
        <v>6175</v>
      </c>
      <c r="P378" s="7">
        <f t="shared" si="21"/>
        <v>64.912280701754383</v>
      </c>
      <c r="Q378" s="2">
        <f t="shared" si="22"/>
        <v>975</v>
      </c>
      <c r="R378" s="5" t="str">
        <f t="shared" si="23"/>
        <v>Below Average</v>
      </c>
      <c r="S378" s="5" t="str">
        <f>Table1[[#This Row],[Quarter]]&amp;" - "&amp;Table1[[#This Row],[City]]</f>
        <v>Q2 - Mumbai</v>
      </c>
    </row>
    <row r="379" spans="1:19" x14ac:dyDescent="0.3">
      <c r="A379" t="s">
        <v>442</v>
      </c>
      <c r="B379" s="1">
        <v>45441</v>
      </c>
      <c r="C379" t="s">
        <v>363</v>
      </c>
      <c r="D379" t="s">
        <v>310</v>
      </c>
      <c r="E379" t="s">
        <v>15</v>
      </c>
      <c r="F379" t="s">
        <v>21</v>
      </c>
      <c r="G379" t="s">
        <v>75</v>
      </c>
      <c r="H379">
        <v>3</v>
      </c>
      <c r="I379">
        <v>870</v>
      </c>
      <c r="J379">
        <v>25</v>
      </c>
      <c r="K379">
        <v>1957.5</v>
      </c>
      <c r="L379" t="s">
        <v>92</v>
      </c>
      <c r="M379" s="2">
        <f>Table1[[#This Row],[Revenue_INR]]-Table1[[#This Row],[Price_INR]]</f>
        <v>1087.5</v>
      </c>
      <c r="N379">
        <f>YEAR(Table1[[#This Row],[Date]])</f>
        <v>2024</v>
      </c>
      <c r="O379" s="2">
        <f t="shared" si="20"/>
        <v>652.5</v>
      </c>
      <c r="P379" s="7">
        <f t="shared" si="21"/>
        <v>55.555555555555557</v>
      </c>
      <c r="Q379" s="2">
        <f t="shared" si="22"/>
        <v>652.5</v>
      </c>
      <c r="R379" s="5" t="str">
        <f t="shared" si="23"/>
        <v>Below Average</v>
      </c>
      <c r="S379" s="5" t="str">
        <f>Table1[[#This Row],[Quarter]]&amp;" - "&amp;Table1[[#This Row],[City]]</f>
        <v>Q2 - Kolkata</v>
      </c>
    </row>
    <row r="380" spans="1:19" x14ac:dyDescent="0.3">
      <c r="A380" t="s">
        <v>443</v>
      </c>
      <c r="B380" s="1">
        <v>45442</v>
      </c>
      <c r="C380" t="s">
        <v>363</v>
      </c>
      <c r="D380" t="s">
        <v>310</v>
      </c>
      <c r="E380" t="s">
        <v>34</v>
      </c>
      <c r="F380" t="s">
        <v>21</v>
      </c>
      <c r="G380" t="s">
        <v>22</v>
      </c>
      <c r="H380">
        <v>12</v>
      </c>
      <c r="I380">
        <v>1820</v>
      </c>
      <c r="J380">
        <v>25</v>
      </c>
      <c r="K380">
        <v>16380</v>
      </c>
      <c r="L380" t="s">
        <v>45</v>
      </c>
      <c r="M380" s="2">
        <f>Table1[[#This Row],[Revenue_INR]]-Table1[[#This Row],[Price_INR]]</f>
        <v>14560</v>
      </c>
      <c r="N380">
        <f>YEAR(Table1[[#This Row],[Date]])</f>
        <v>2024</v>
      </c>
      <c r="O380" s="2">
        <f t="shared" si="20"/>
        <v>1365</v>
      </c>
      <c r="P380" s="7">
        <f t="shared" si="21"/>
        <v>88.888888888888886</v>
      </c>
      <c r="Q380" s="2">
        <f t="shared" si="22"/>
        <v>5460</v>
      </c>
      <c r="R380" s="5" t="str">
        <f t="shared" si="23"/>
        <v>Below Average</v>
      </c>
      <c r="S380" s="5" t="str">
        <f>Table1[[#This Row],[Quarter]]&amp;" - "&amp;Table1[[#This Row],[City]]</f>
        <v>Q2 - Delhi</v>
      </c>
    </row>
    <row r="381" spans="1:19" x14ac:dyDescent="0.3">
      <c r="A381" t="s">
        <v>444</v>
      </c>
      <c r="B381" s="1">
        <v>45442</v>
      </c>
      <c r="C381" t="s">
        <v>363</v>
      </c>
      <c r="D381" t="s">
        <v>310</v>
      </c>
      <c r="E381" t="s">
        <v>25</v>
      </c>
      <c r="F381" t="s">
        <v>21</v>
      </c>
      <c r="G381" t="s">
        <v>71</v>
      </c>
      <c r="H381">
        <v>14</v>
      </c>
      <c r="I381">
        <v>1000</v>
      </c>
      <c r="J381">
        <v>0</v>
      </c>
      <c r="K381">
        <v>14000</v>
      </c>
      <c r="L381" t="s">
        <v>42</v>
      </c>
      <c r="M381" s="2">
        <f>Table1[[#This Row],[Revenue_INR]]-Table1[[#This Row],[Price_INR]]</f>
        <v>13000</v>
      </c>
      <c r="N381">
        <f>YEAR(Table1[[#This Row],[Date]])</f>
        <v>2024</v>
      </c>
      <c r="O381" s="2">
        <f t="shared" si="20"/>
        <v>1000</v>
      </c>
      <c r="P381" s="7">
        <f t="shared" si="21"/>
        <v>92.857142857142861</v>
      </c>
      <c r="Q381" s="2">
        <f t="shared" si="22"/>
        <v>0</v>
      </c>
      <c r="R381" s="5" t="str">
        <f t="shared" si="23"/>
        <v>Below Average</v>
      </c>
      <c r="S381" s="5" t="str">
        <f>Table1[[#This Row],[Quarter]]&amp;" - "&amp;Table1[[#This Row],[City]]</f>
        <v>Q2 - Hyderabad</v>
      </c>
    </row>
    <row r="382" spans="1:19" x14ac:dyDescent="0.3">
      <c r="A382" t="s">
        <v>445</v>
      </c>
      <c r="B382" s="1">
        <v>45443</v>
      </c>
      <c r="C382" t="s">
        <v>363</v>
      </c>
      <c r="D382" t="s">
        <v>310</v>
      </c>
      <c r="E382" t="s">
        <v>34</v>
      </c>
      <c r="F382" t="s">
        <v>21</v>
      </c>
      <c r="G382" t="s">
        <v>94</v>
      </c>
      <c r="H382">
        <v>8</v>
      </c>
      <c r="I382">
        <v>3270</v>
      </c>
      <c r="J382">
        <v>30</v>
      </c>
      <c r="K382">
        <v>18312</v>
      </c>
      <c r="L382" t="s">
        <v>36</v>
      </c>
      <c r="M382" s="2">
        <f>Table1[[#This Row],[Revenue_INR]]-Table1[[#This Row],[Price_INR]]</f>
        <v>15042</v>
      </c>
      <c r="N382">
        <f>YEAR(Table1[[#This Row],[Date]])</f>
        <v>2024</v>
      </c>
      <c r="O382" s="2">
        <f t="shared" si="20"/>
        <v>2289</v>
      </c>
      <c r="P382" s="7">
        <f t="shared" si="21"/>
        <v>82.142857142857139</v>
      </c>
      <c r="Q382" s="2">
        <f t="shared" si="22"/>
        <v>7848</v>
      </c>
      <c r="R382" s="5" t="str">
        <f t="shared" si="23"/>
        <v>Below Average</v>
      </c>
      <c r="S382" s="5" t="str">
        <f>Table1[[#This Row],[Quarter]]&amp;" - "&amp;Table1[[#This Row],[City]]</f>
        <v>Q2 - Delhi</v>
      </c>
    </row>
    <row r="383" spans="1:19" x14ac:dyDescent="0.3">
      <c r="A383" t="s">
        <v>446</v>
      </c>
      <c r="B383" s="1">
        <v>45445</v>
      </c>
      <c r="C383" t="s">
        <v>447</v>
      </c>
      <c r="D383" t="s">
        <v>310</v>
      </c>
      <c r="E383" t="s">
        <v>15</v>
      </c>
      <c r="F383" t="s">
        <v>26</v>
      </c>
      <c r="G383" t="s">
        <v>27</v>
      </c>
      <c r="H383">
        <v>7</v>
      </c>
      <c r="I383">
        <v>9510</v>
      </c>
      <c r="J383">
        <v>5</v>
      </c>
      <c r="K383">
        <v>63241.5</v>
      </c>
      <c r="L383" t="s">
        <v>53</v>
      </c>
      <c r="M383" s="2">
        <f>Table1[[#This Row],[Revenue_INR]]-Table1[[#This Row],[Price_INR]]</f>
        <v>53731.5</v>
      </c>
      <c r="N383">
        <f>YEAR(Table1[[#This Row],[Date]])</f>
        <v>2024</v>
      </c>
      <c r="O383" s="2">
        <f t="shared" si="20"/>
        <v>9034.5</v>
      </c>
      <c r="P383" s="7">
        <f t="shared" si="21"/>
        <v>84.962406015037601</v>
      </c>
      <c r="Q383" s="2">
        <f t="shared" si="22"/>
        <v>3328.5</v>
      </c>
      <c r="R383" s="5" t="str">
        <f t="shared" si="23"/>
        <v>Above Average</v>
      </c>
      <c r="S383" s="5" t="str">
        <f>Table1[[#This Row],[Quarter]]&amp;" - "&amp;Table1[[#This Row],[City]]</f>
        <v>Q2 - Kolkata</v>
      </c>
    </row>
    <row r="384" spans="1:19" x14ac:dyDescent="0.3">
      <c r="A384" t="s">
        <v>448</v>
      </c>
      <c r="B384" s="1">
        <v>45445</v>
      </c>
      <c r="C384" t="s">
        <v>447</v>
      </c>
      <c r="D384" t="s">
        <v>310</v>
      </c>
      <c r="E384" t="s">
        <v>15</v>
      </c>
      <c r="F384" t="s">
        <v>21</v>
      </c>
      <c r="G384" t="s">
        <v>75</v>
      </c>
      <c r="H384">
        <v>3</v>
      </c>
      <c r="I384">
        <v>2940</v>
      </c>
      <c r="J384">
        <v>10</v>
      </c>
      <c r="K384">
        <v>7938</v>
      </c>
      <c r="L384" t="s">
        <v>18</v>
      </c>
      <c r="M384" s="2">
        <f>Table1[[#This Row],[Revenue_INR]]-Table1[[#This Row],[Price_INR]]</f>
        <v>4998</v>
      </c>
      <c r="N384">
        <f>YEAR(Table1[[#This Row],[Date]])</f>
        <v>2024</v>
      </c>
      <c r="O384" s="2">
        <f t="shared" si="20"/>
        <v>2646</v>
      </c>
      <c r="P384" s="7">
        <f t="shared" si="21"/>
        <v>62.962962962962962</v>
      </c>
      <c r="Q384" s="2">
        <f t="shared" si="22"/>
        <v>882</v>
      </c>
      <c r="R384" s="5" t="str">
        <f t="shared" si="23"/>
        <v>Below Average</v>
      </c>
      <c r="S384" s="5" t="str">
        <f>Table1[[#This Row],[Quarter]]&amp;" - "&amp;Table1[[#This Row],[City]]</f>
        <v>Q2 - Kolkata</v>
      </c>
    </row>
    <row r="385" spans="1:19" x14ac:dyDescent="0.3">
      <c r="A385" t="s">
        <v>449</v>
      </c>
      <c r="B385" s="1">
        <v>45445</v>
      </c>
      <c r="C385" t="s">
        <v>447</v>
      </c>
      <c r="D385" t="s">
        <v>310</v>
      </c>
      <c r="E385" t="s">
        <v>34</v>
      </c>
      <c r="F385" t="s">
        <v>21</v>
      </c>
      <c r="G385" t="s">
        <v>71</v>
      </c>
      <c r="H385">
        <v>12</v>
      </c>
      <c r="I385">
        <v>3470</v>
      </c>
      <c r="J385">
        <v>30</v>
      </c>
      <c r="K385">
        <v>29148</v>
      </c>
      <c r="L385" t="s">
        <v>36</v>
      </c>
      <c r="M385" s="2">
        <f>Table1[[#This Row],[Revenue_INR]]-Table1[[#This Row],[Price_INR]]</f>
        <v>25678</v>
      </c>
      <c r="N385">
        <f>YEAR(Table1[[#This Row],[Date]])</f>
        <v>2024</v>
      </c>
      <c r="O385" s="2">
        <f t="shared" si="20"/>
        <v>2429</v>
      </c>
      <c r="P385" s="7">
        <f t="shared" si="21"/>
        <v>88.095238095238088</v>
      </c>
      <c r="Q385" s="2">
        <f t="shared" si="22"/>
        <v>12492</v>
      </c>
      <c r="R385" s="5" t="str">
        <f t="shared" si="23"/>
        <v>Above Average</v>
      </c>
      <c r="S385" s="5" t="str">
        <f>Table1[[#This Row],[Quarter]]&amp;" - "&amp;Table1[[#This Row],[City]]</f>
        <v>Q2 - Delhi</v>
      </c>
    </row>
    <row r="386" spans="1:19" x14ac:dyDescent="0.3">
      <c r="A386" t="s">
        <v>450</v>
      </c>
      <c r="B386" s="1">
        <v>45445</v>
      </c>
      <c r="C386" t="s">
        <v>447</v>
      </c>
      <c r="D386" t="s">
        <v>310</v>
      </c>
      <c r="E386" t="s">
        <v>20</v>
      </c>
      <c r="F386" t="s">
        <v>26</v>
      </c>
      <c r="G386" t="s">
        <v>82</v>
      </c>
      <c r="H386">
        <v>5</v>
      </c>
      <c r="I386">
        <v>12920</v>
      </c>
      <c r="J386">
        <v>0</v>
      </c>
      <c r="K386">
        <v>64600</v>
      </c>
      <c r="L386" t="s">
        <v>39</v>
      </c>
      <c r="M386" s="2">
        <f>Table1[[#This Row],[Revenue_INR]]-Table1[[#This Row],[Price_INR]]</f>
        <v>51680</v>
      </c>
      <c r="N386">
        <f>YEAR(Table1[[#This Row],[Date]])</f>
        <v>2024</v>
      </c>
      <c r="O386" s="2">
        <f t="shared" ref="O386:O449" si="24">K386/H386</f>
        <v>12920</v>
      </c>
      <c r="P386" s="7">
        <f t="shared" ref="P386:P449" si="25">M386/K386*100</f>
        <v>80</v>
      </c>
      <c r="Q386" s="2">
        <f t="shared" ref="Q386:Q449" si="26">I386*H386*J386/100</f>
        <v>0</v>
      </c>
      <c r="R386" s="5" t="str">
        <f t="shared" ref="R386:R449" si="27">IF(K386&gt;AVERAGE($K$2:$K$1001),"Above Average","Below Average")</f>
        <v>Above Average</v>
      </c>
      <c r="S386" s="5" t="str">
        <f>Table1[[#This Row],[Quarter]]&amp;" - "&amp;Table1[[#This Row],[City]]</f>
        <v>Q2 - Mumbai</v>
      </c>
    </row>
    <row r="387" spans="1:19" x14ac:dyDescent="0.3">
      <c r="A387" t="s">
        <v>451</v>
      </c>
      <c r="B387" s="1">
        <v>45445</v>
      </c>
      <c r="C387" t="s">
        <v>447</v>
      </c>
      <c r="D387" t="s">
        <v>310</v>
      </c>
      <c r="E387" t="s">
        <v>25</v>
      </c>
      <c r="F387" t="s">
        <v>47</v>
      </c>
      <c r="G387" t="s">
        <v>48</v>
      </c>
      <c r="H387">
        <v>2</v>
      </c>
      <c r="I387">
        <v>8520</v>
      </c>
      <c r="J387">
        <v>30</v>
      </c>
      <c r="K387">
        <v>11928</v>
      </c>
      <c r="L387" t="s">
        <v>28</v>
      </c>
      <c r="M387" s="2">
        <f>Table1[[#This Row],[Revenue_INR]]-Table1[[#This Row],[Price_INR]]</f>
        <v>3408</v>
      </c>
      <c r="N387">
        <f>YEAR(Table1[[#This Row],[Date]])</f>
        <v>2024</v>
      </c>
      <c r="O387" s="2">
        <f t="shared" si="24"/>
        <v>5964</v>
      </c>
      <c r="P387" s="7">
        <f t="shared" si="25"/>
        <v>28.571428571428569</v>
      </c>
      <c r="Q387" s="2">
        <f t="shared" si="26"/>
        <v>5112</v>
      </c>
      <c r="R387" s="5" t="str">
        <f t="shared" si="27"/>
        <v>Below Average</v>
      </c>
      <c r="S387" s="5" t="str">
        <f>Table1[[#This Row],[Quarter]]&amp;" - "&amp;Table1[[#This Row],[City]]</f>
        <v>Q2 - Hyderabad</v>
      </c>
    </row>
    <row r="388" spans="1:19" x14ac:dyDescent="0.3">
      <c r="A388" t="s">
        <v>452</v>
      </c>
      <c r="B388" s="1">
        <v>45446</v>
      </c>
      <c r="C388" t="s">
        <v>447</v>
      </c>
      <c r="D388" t="s">
        <v>310</v>
      </c>
      <c r="E388" t="s">
        <v>25</v>
      </c>
      <c r="F388" t="s">
        <v>21</v>
      </c>
      <c r="G388" t="s">
        <v>71</v>
      </c>
      <c r="H388">
        <v>5</v>
      </c>
      <c r="I388">
        <v>1100</v>
      </c>
      <c r="J388">
        <v>5</v>
      </c>
      <c r="K388">
        <v>5225</v>
      </c>
      <c r="L388" t="s">
        <v>42</v>
      </c>
      <c r="M388" s="2">
        <f>Table1[[#This Row],[Revenue_INR]]-Table1[[#This Row],[Price_INR]]</f>
        <v>4125</v>
      </c>
      <c r="N388">
        <f>YEAR(Table1[[#This Row],[Date]])</f>
        <v>2024</v>
      </c>
      <c r="O388" s="2">
        <f t="shared" si="24"/>
        <v>1045</v>
      </c>
      <c r="P388" s="7">
        <f t="shared" si="25"/>
        <v>78.94736842105263</v>
      </c>
      <c r="Q388" s="2">
        <f t="shared" si="26"/>
        <v>275</v>
      </c>
      <c r="R388" s="5" t="str">
        <f t="shared" si="27"/>
        <v>Below Average</v>
      </c>
      <c r="S388" s="5" t="str">
        <f>Table1[[#This Row],[Quarter]]&amp;" - "&amp;Table1[[#This Row],[City]]</f>
        <v>Q2 - Hyderabad</v>
      </c>
    </row>
    <row r="389" spans="1:19" x14ac:dyDescent="0.3">
      <c r="A389" t="s">
        <v>453</v>
      </c>
      <c r="B389" s="1">
        <v>45446</v>
      </c>
      <c r="C389" t="s">
        <v>447</v>
      </c>
      <c r="D389" t="s">
        <v>310</v>
      </c>
      <c r="E389" t="s">
        <v>25</v>
      </c>
      <c r="F389" t="s">
        <v>31</v>
      </c>
      <c r="G389" t="s">
        <v>35</v>
      </c>
      <c r="H389">
        <v>3</v>
      </c>
      <c r="I389">
        <v>3700</v>
      </c>
      <c r="J389">
        <v>20</v>
      </c>
      <c r="K389">
        <v>8880</v>
      </c>
      <c r="L389" t="s">
        <v>42</v>
      </c>
      <c r="M389" s="2">
        <f>Table1[[#This Row],[Revenue_INR]]-Table1[[#This Row],[Price_INR]]</f>
        <v>5180</v>
      </c>
      <c r="N389">
        <f>YEAR(Table1[[#This Row],[Date]])</f>
        <v>2024</v>
      </c>
      <c r="O389" s="2">
        <f t="shared" si="24"/>
        <v>2960</v>
      </c>
      <c r="P389" s="7">
        <f t="shared" si="25"/>
        <v>58.333333333333336</v>
      </c>
      <c r="Q389" s="2">
        <f t="shared" si="26"/>
        <v>2220</v>
      </c>
      <c r="R389" s="5" t="str">
        <f t="shared" si="27"/>
        <v>Below Average</v>
      </c>
      <c r="S389" s="5" t="str">
        <f>Table1[[#This Row],[Quarter]]&amp;" - "&amp;Table1[[#This Row],[City]]</f>
        <v>Q2 - Hyderabad</v>
      </c>
    </row>
    <row r="390" spans="1:19" x14ac:dyDescent="0.3">
      <c r="A390" t="s">
        <v>454</v>
      </c>
      <c r="B390" s="1">
        <v>45446</v>
      </c>
      <c r="C390" t="s">
        <v>447</v>
      </c>
      <c r="D390" t="s">
        <v>310</v>
      </c>
      <c r="E390" t="s">
        <v>34</v>
      </c>
      <c r="F390" t="s">
        <v>60</v>
      </c>
      <c r="G390" t="s">
        <v>85</v>
      </c>
      <c r="H390">
        <v>6</v>
      </c>
      <c r="I390">
        <v>1160</v>
      </c>
      <c r="J390">
        <v>5</v>
      </c>
      <c r="K390">
        <v>6612</v>
      </c>
      <c r="L390" t="s">
        <v>45</v>
      </c>
      <c r="M390" s="2">
        <f>Table1[[#This Row],[Revenue_INR]]-Table1[[#This Row],[Price_INR]]</f>
        <v>5452</v>
      </c>
      <c r="N390">
        <f>YEAR(Table1[[#This Row],[Date]])</f>
        <v>2024</v>
      </c>
      <c r="O390" s="2">
        <f t="shared" si="24"/>
        <v>1102</v>
      </c>
      <c r="P390" s="7">
        <f t="shared" si="25"/>
        <v>82.456140350877192</v>
      </c>
      <c r="Q390" s="2">
        <f t="shared" si="26"/>
        <v>348</v>
      </c>
      <c r="R390" s="5" t="str">
        <f t="shared" si="27"/>
        <v>Below Average</v>
      </c>
      <c r="S390" s="5" t="str">
        <f>Table1[[#This Row],[Quarter]]&amp;" - "&amp;Table1[[#This Row],[City]]</f>
        <v>Q2 - Delhi</v>
      </c>
    </row>
    <row r="391" spans="1:19" x14ac:dyDescent="0.3">
      <c r="A391" t="s">
        <v>455</v>
      </c>
      <c r="B391" s="1">
        <v>45446</v>
      </c>
      <c r="C391" t="s">
        <v>447</v>
      </c>
      <c r="D391" t="s">
        <v>310</v>
      </c>
      <c r="E391" t="s">
        <v>34</v>
      </c>
      <c r="F391" t="s">
        <v>16</v>
      </c>
      <c r="G391" t="s">
        <v>41</v>
      </c>
      <c r="H391">
        <v>8</v>
      </c>
      <c r="I391">
        <v>2160</v>
      </c>
      <c r="J391">
        <v>30</v>
      </c>
      <c r="K391">
        <v>12096</v>
      </c>
      <c r="L391" t="s">
        <v>45</v>
      </c>
      <c r="M391" s="2">
        <f>Table1[[#This Row],[Revenue_INR]]-Table1[[#This Row],[Price_INR]]</f>
        <v>9936</v>
      </c>
      <c r="N391">
        <f>YEAR(Table1[[#This Row],[Date]])</f>
        <v>2024</v>
      </c>
      <c r="O391" s="2">
        <f t="shared" si="24"/>
        <v>1512</v>
      </c>
      <c r="P391" s="7">
        <f t="shared" si="25"/>
        <v>82.142857142857139</v>
      </c>
      <c r="Q391" s="2">
        <f t="shared" si="26"/>
        <v>5184</v>
      </c>
      <c r="R391" s="5" t="str">
        <f t="shared" si="27"/>
        <v>Below Average</v>
      </c>
      <c r="S391" s="5" t="str">
        <f>Table1[[#This Row],[Quarter]]&amp;" - "&amp;Table1[[#This Row],[City]]</f>
        <v>Q2 - Delhi</v>
      </c>
    </row>
    <row r="392" spans="1:19" x14ac:dyDescent="0.3">
      <c r="A392" t="s">
        <v>456</v>
      </c>
      <c r="B392" s="1">
        <v>45446</v>
      </c>
      <c r="C392" t="s">
        <v>447</v>
      </c>
      <c r="D392" t="s">
        <v>310</v>
      </c>
      <c r="E392" t="s">
        <v>34</v>
      </c>
      <c r="F392" t="s">
        <v>60</v>
      </c>
      <c r="G392" t="s">
        <v>61</v>
      </c>
      <c r="H392">
        <v>7</v>
      </c>
      <c r="I392">
        <v>920</v>
      </c>
      <c r="J392">
        <v>15</v>
      </c>
      <c r="K392">
        <v>5474</v>
      </c>
      <c r="L392" t="s">
        <v>49</v>
      </c>
      <c r="M392" s="2">
        <f>Table1[[#This Row],[Revenue_INR]]-Table1[[#This Row],[Price_INR]]</f>
        <v>4554</v>
      </c>
      <c r="N392">
        <f>YEAR(Table1[[#This Row],[Date]])</f>
        <v>2024</v>
      </c>
      <c r="O392" s="2">
        <f t="shared" si="24"/>
        <v>782</v>
      </c>
      <c r="P392" s="7">
        <f t="shared" si="25"/>
        <v>83.193277310924373</v>
      </c>
      <c r="Q392" s="2">
        <f t="shared" si="26"/>
        <v>966</v>
      </c>
      <c r="R392" s="5" t="str">
        <f t="shared" si="27"/>
        <v>Below Average</v>
      </c>
      <c r="S392" s="5" t="str">
        <f>Table1[[#This Row],[Quarter]]&amp;" - "&amp;Table1[[#This Row],[City]]</f>
        <v>Q2 - Delhi</v>
      </c>
    </row>
    <row r="393" spans="1:19" x14ac:dyDescent="0.3">
      <c r="A393" t="s">
        <v>457</v>
      </c>
      <c r="B393" s="1">
        <v>45446</v>
      </c>
      <c r="C393" t="s">
        <v>447</v>
      </c>
      <c r="D393" t="s">
        <v>310</v>
      </c>
      <c r="E393" t="s">
        <v>34</v>
      </c>
      <c r="F393" t="s">
        <v>31</v>
      </c>
      <c r="G393" t="s">
        <v>32</v>
      </c>
      <c r="H393">
        <v>9</v>
      </c>
      <c r="I393">
        <v>3190</v>
      </c>
      <c r="J393">
        <v>25</v>
      </c>
      <c r="K393">
        <v>21532.5</v>
      </c>
      <c r="L393" t="s">
        <v>36</v>
      </c>
      <c r="M393" s="2">
        <f>Table1[[#This Row],[Revenue_INR]]-Table1[[#This Row],[Price_INR]]</f>
        <v>18342.5</v>
      </c>
      <c r="N393">
        <f>YEAR(Table1[[#This Row],[Date]])</f>
        <v>2024</v>
      </c>
      <c r="O393" s="2">
        <f t="shared" si="24"/>
        <v>2392.5</v>
      </c>
      <c r="P393" s="7">
        <f t="shared" si="25"/>
        <v>85.18518518518519</v>
      </c>
      <c r="Q393" s="2">
        <f t="shared" si="26"/>
        <v>7177.5</v>
      </c>
      <c r="R393" s="5" t="str">
        <f t="shared" si="27"/>
        <v>Below Average</v>
      </c>
      <c r="S393" s="5" t="str">
        <f>Table1[[#This Row],[Quarter]]&amp;" - "&amp;Table1[[#This Row],[City]]</f>
        <v>Q2 - Delhi</v>
      </c>
    </row>
    <row r="394" spans="1:19" x14ac:dyDescent="0.3">
      <c r="A394" t="s">
        <v>458</v>
      </c>
      <c r="B394" s="1">
        <v>45446</v>
      </c>
      <c r="C394" t="s">
        <v>447</v>
      </c>
      <c r="D394" t="s">
        <v>310</v>
      </c>
      <c r="E394" t="s">
        <v>25</v>
      </c>
      <c r="F394" t="s">
        <v>16</v>
      </c>
      <c r="G394" t="s">
        <v>69</v>
      </c>
      <c r="H394">
        <v>8</v>
      </c>
      <c r="I394">
        <v>2010</v>
      </c>
      <c r="J394">
        <v>25</v>
      </c>
      <c r="K394">
        <v>12060</v>
      </c>
      <c r="L394" t="s">
        <v>66</v>
      </c>
      <c r="M394" s="2">
        <f>Table1[[#This Row],[Revenue_INR]]-Table1[[#This Row],[Price_INR]]</f>
        <v>10050</v>
      </c>
      <c r="N394">
        <f>YEAR(Table1[[#This Row],[Date]])</f>
        <v>2024</v>
      </c>
      <c r="O394" s="2">
        <f t="shared" si="24"/>
        <v>1507.5</v>
      </c>
      <c r="P394" s="7">
        <f t="shared" si="25"/>
        <v>83.333333333333343</v>
      </c>
      <c r="Q394" s="2">
        <f t="shared" si="26"/>
        <v>4020</v>
      </c>
      <c r="R394" s="5" t="str">
        <f t="shared" si="27"/>
        <v>Below Average</v>
      </c>
      <c r="S394" s="5" t="str">
        <f>Table1[[#This Row],[Quarter]]&amp;" - "&amp;Table1[[#This Row],[City]]</f>
        <v>Q2 - Hyderabad</v>
      </c>
    </row>
    <row r="395" spans="1:19" x14ac:dyDescent="0.3">
      <c r="A395" t="s">
        <v>459</v>
      </c>
      <c r="B395" s="1">
        <v>45447</v>
      </c>
      <c r="C395" t="s">
        <v>447</v>
      </c>
      <c r="D395" t="s">
        <v>310</v>
      </c>
      <c r="E395" t="s">
        <v>25</v>
      </c>
      <c r="F395" t="s">
        <v>26</v>
      </c>
      <c r="G395" t="s">
        <v>82</v>
      </c>
      <c r="H395">
        <v>14</v>
      </c>
      <c r="I395">
        <v>7010</v>
      </c>
      <c r="J395">
        <v>10</v>
      </c>
      <c r="K395">
        <v>88326</v>
      </c>
      <c r="L395" t="s">
        <v>42</v>
      </c>
      <c r="M395" s="2">
        <f>Table1[[#This Row],[Revenue_INR]]-Table1[[#This Row],[Price_INR]]</f>
        <v>81316</v>
      </c>
      <c r="N395">
        <f>YEAR(Table1[[#This Row],[Date]])</f>
        <v>2024</v>
      </c>
      <c r="O395" s="2">
        <f t="shared" si="24"/>
        <v>6309</v>
      </c>
      <c r="P395" s="7">
        <f t="shared" si="25"/>
        <v>92.063492063492063</v>
      </c>
      <c r="Q395" s="2">
        <f t="shared" si="26"/>
        <v>9814</v>
      </c>
      <c r="R395" s="5" t="str">
        <f t="shared" si="27"/>
        <v>Above Average</v>
      </c>
      <c r="S395" s="5" t="str">
        <f>Table1[[#This Row],[Quarter]]&amp;" - "&amp;Table1[[#This Row],[City]]</f>
        <v>Q2 - Hyderabad</v>
      </c>
    </row>
    <row r="396" spans="1:19" x14ac:dyDescent="0.3">
      <c r="A396" t="s">
        <v>460</v>
      </c>
      <c r="B396" s="1">
        <v>45447</v>
      </c>
      <c r="C396" t="s">
        <v>447</v>
      </c>
      <c r="D396" t="s">
        <v>310</v>
      </c>
      <c r="E396" t="s">
        <v>25</v>
      </c>
      <c r="F396" t="s">
        <v>26</v>
      </c>
      <c r="G396" t="s">
        <v>27</v>
      </c>
      <c r="H396">
        <v>14</v>
      </c>
      <c r="I396">
        <v>6170</v>
      </c>
      <c r="J396">
        <v>0</v>
      </c>
      <c r="K396">
        <v>86380</v>
      </c>
      <c r="L396" t="s">
        <v>28</v>
      </c>
      <c r="M396" s="2">
        <f>Table1[[#This Row],[Revenue_INR]]-Table1[[#This Row],[Price_INR]]</f>
        <v>80210</v>
      </c>
      <c r="N396">
        <f>YEAR(Table1[[#This Row],[Date]])</f>
        <v>2024</v>
      </c>
      <c r="O396" s="2">
        <f t="shared" si="24"/>
        <v>6170</v>
      </c>
      <c r="P396" s="7">
        <f t="shared" si="25"/>
        <v>92.857142857142861</v>
      </c>
      <c r="Q396" s="2">
        <f t="shared" si="26"/>
        <v>0</v>
      </c>
      <c r="R396" s="5" t="str">
        <f t="shared" si="27"/>
        <v>Above Average</v>
      </c>
      <c r="S396" s="5" t="str">
        <f>Table1[[#This Row],[Quarter]]&amp;" - "&amp;Table1[[#This Row],[City]]</f>
        <v>Q2 - Hyderabad</v>
      </c>
    </row>
    <row r="397" spans="1:19" x14ac:dyDescent="0.3">
      <c r="A397" t="s">
        <v>461</v>
      </c>
      <c r="B397" s="1">
        <v>45447</v>
      </c>
      <c r="C397" t="s">
        <v>447</v>
      </c>
      <c r="D397" t="s">
        <v>310</v>
      </c>
      <c r="E397" t="s">
        <v>15</v>
      </c>
      <c r="F397" t="s">
        <v>60</v>
      </c>
      <c r="G397" t="s">
        <v>61</v>
      </c>
      <c r="H397">
        <v>13</v>
      </c>
      <c r="I397">
        <v>890</v>
      </c>
      <c r="J397">
        <v>20</v>
      </c>
      <c r="K397">
        <v>9256</v>
      </c>
      <c r="L397" t="s">
        <v>92</v>
      </c>
      <c r="M397" s="2">
        <f>Table1[[#This Row],[Revenue_INR]]-Table1[[#This Row],[Price_INR]]</f>
        <v>8366</v>
      </c>
      <c r="N397">
        <f>YEAR(Table1[[#This Row],[Date]])</f>
        <v>2024</v>
      </c>
      <c r="O397" s="2">
        <f t="shared" si="24"/>
        <v>712</v>
      </c>
      <c r="P397" s="7">
        <f t="shared" si="25"/>
        <v>90.384615384615387</v>
      </c>
      <c r="Q397" s="2">
        <f t="shared" si="26"/>
        <v>2314</v>
      </c>
      <c r="R397" s="5" t="str">
        <f t="shared" si="27"/>
        <v>Below Average</v>
      </c>
      <c r="S397" s="5" t="str">
        <f>Table1[[#This Row],[Quarter]]&amp;" - "&amp;Table1[[#This Row],[City]]</f>
        <v>Q2 - Kolkata</v>
      </c>
    </row>
    <row r="398" spans="1:19" x14ac:dyDescent="0.3">
      <c r="A398" t="s">
        <v>462</v>
      </c>
      <c r="B398" s="1">
        <v>45448</v>
      </c>
      <c r="C398" t="s">
        <v>447</v>
      </c>
      <c r="D398" t="s">
        <v>310</v>
      </c>
      <c r="E398" t="s">
        <v>34</v>
      </c>
      <c r="F398" t="s">
        <v>31</v>
      </c>
      <c r="G398" t="s">
        <v>32</v>
      </c>
      <c r="H398">
        <v>9</v>
      </c>
      <c r="I398">
        <v>1510</v>
      </c>
      <c r="J398">
        <v>20</v>
      </c>
      <c r="K398">
        <v>10872</v>
      </c>
      <c r="L398" t="s">
        <v>45</v>
      </c>
      <c r="M398" s="2">
        <f>Table1[[#This Row],[Revenue_INR]]-Table1[[#This Row],[Price_INR]]</f>
        <v>9362</v>
      </c>
      <c r="N398">
        <f>YEAR(Table1[[#This Row],[Date]])</f>
        <v>2024</v>
      </c>
      <c r="O398" s="2">
        <f t="shared" si="24"/>
        <v>1208</v>
      </c>
      <c r="P398" s="7">
        <f t="shared" si="25"/>
        <v>86.111111111111114</v>
      </c>
      <c r="Q398" s="2">
        <f t="shared" si="26"/>
        <v>2718</v>
      </c>
      <c r="R398" s="5" t="str">
        <f t="shared" si="27"/>
        <v>Below Average</v>
      </c>
      <c r="S398" s="5" t="str">
        <f>Table1[[#This Row],[Quarter]]&amp;" - "&amp;Table1[[#This Row],[City]]</f>
        <v>Q2 - Delhi</v>
      </c>
    </row>
    <row r="399" spans="1:19" x14ac:dyDescent="0.3">
      <c r="A399" t="s">
        <v>463</v>
      </c>
      <c r="B399" s="1">
        <v>45448</v>
      </c>
      <c r="C399" t="s">
        <v>447</v>
      </c>
      <c r="D399" t="s">
        <v>310</v>
      </c>
      <c r="E399" t="s">
        <v>15</v>
      </c>
      <c r="F399" t="s">
        <v>47</v>
      </c>
      <c r="G399" t="s">
        <v>48</v>
      </c>
      <c r="H399">
        <v>15</v>
      </c>
      <c r="I399">
        <v>5970</v>
      </c>
      <c r="J399">
        <v>30</v>
      </c>
      <c r="K399">
        <v>62685</v>
      </c>
      <c r="L399" t="s">
        <v>92</v>
      </c>
      <c r="M399" s="2">
        <f>Table1[[#This Row],[Revenue_INR]]-Table1[[#This Row],[Price_INR]]</f>
        <v>56715</v>
      </c>
      <c r="N399">
        <f>YEAR(Table1[[#This Row],[Date]])</f>
        <v>2024</v>
      </c>
      <c r="O399" s="2">
        <f t="shared" si="24"/>
        <v>4179</v>
      </c>
      <c r="P399" s="7">
        <f t="shared" si="25"/>
        <v>90.476190476190482</v>
      </c>
      <c r="Q399" s="2">
        <f t="shared" si="26"/>
        <v>26865</v>
      </c>
      <c r="R399" s="5" t="str">
        <f t="shared" si="27"/>
        <v>Above Average</v>
      </c>
      <c r="S399" s="5" t="str">
        <f>Table1[[#This Row],[Quarter]]&amp;" - "&amp;Table1[[#This Row],[City]]</f>
        <v>Q2 - Kolkata</v>
      </c>
    </row>
    <row r="400" spans="1:19" x14ac:dyDescent="0.3">
      <c r="A400" t="s">
        <v>464</v>
      </c>
      <c r="B400" s="1">
        <v>45448</v>
      </c>
      <c r="C400" t="s">
        <v>447</v>
      </c>
      <c r="D400" t="s">
        <v>310</v>
      </c>
      <c r="E400" t="s">
        <v>15</v>
      </c>
      <c r="F400" t="s">
        <v>47</v>
      </c>
      <c r="G400" t="s">
        <v>102</v>
      </c>
      <c r="H400">
        <v>10</v>
      </c>
      <c r="I400">
        <v>4080</v>
      </c>
      <c r="J400">
        <v>15</v>
      </c>
      <c r="K400">
        <v>34680</v>
      </c>
      <c r="L400" t="s">
        <v>18</v>
      </c>
      <c r="M400" s="2">
        <f>Table1[[#This Row],[Revenue_INR]]-Table1[[#This Row],[Price_INR]]</f>
        <v>30600</v>
      </c>
      <c r="N400">
        <f>YEAR(Table1[[#This Row],[Date]])</f>
        <v>2024</v>
      </c>
      <c r="O400" s="2">
        <f t="shared" si="24"/>
        <v>3468</v>
      </c>
      <c r="P400" s="7">
        <f t="shared" si="25"/>
        <v>88.235294117647058</v>
      </c>
      <c r="Q400" s="2">
        <f t="shared" si="26"/>
        <v>6120</v>
      </c>
      <c r="R400" s="5" t="str">
        <f t="shared" si="27"/>
        <v>Above Average</v>
      </c>
      <c r="S400" s="5" t="str">
        <f>Table1[[#This Row],[Quarter]]&amp;" - "&amp;Table1[[#This Row],[City]]</f>
        <v>Q2 - Kolkata</v>
      </c>
    </row>
    <row r="401" spans="1:19" x14ac:dyDescent="0.3">
      <c r="A401" t="s">
        <v>465</v>
      </c>
      <c r="B401" s="1">
        <v>45448</v>
      </c>
      <c r="C401" t="s">
        <v>447</v>
      </c>
      <c r="D401" t="s">
        <v>310</v>
      </c>
      <c r="E401" t="s">
        <v>34</v>
      </c>
      <c r="F401" t="s">
        <v>31</v>
      </c>
      <c r="G401" t="s">
        <v>131</v>
      </c>
      <c r="H401">
        <v>11</v>
      </c>
      <c r="I401">
        <v>1400</v>
      </c>
      <c r="J401">
        <v>10</v>
      </c>
      <c r="K401">
        <v>13860</v>
      </c>
      <c r="L401" t="s">
        <v>49</v>
      </c>
      <c r="M401" s="2">
        <f>Table1[[#This Row],[Revenue_INR]]-Table1[[#This Row],[Price_INR]]</f>
        <v>12460</v>
      </c>
      <c r="N401">
        <f>YEAR(Table1[[#This Row],[Date]])</f>
        <v>2024</v>
      </c>
      <c r="O401" s="2">
        <f t="shared" si="24"/>
        <v>1260</v>
      </c>
      <c r="P401" s="7">
        <f t="shared" si="25"/>
        <v>89.898989898989896</v>
      </c>
      <c r="Q401" s="2">
        <f t="shared" si="26"/>
        <v>1540</v>
      </c>
      <c r="R401" s="5" t="str">
        <f t="shared" si="27"/>
        <v>Below Average</v>
      </c>
      <c r="S401" s="5" t="str">
        <f>Table1[[#This Row],[Quarter]]&amp;" - "&amp;Table1[[#This Row],[City]]</f>
        <v>Q2 - Delhi</v>
      </c>
    </row>
    <row r="402" spans="1:19" x14ac:dyDescent="0.3">
      <c r="A402" t="s">
        <v>466</v>
      </c>
      <c r="B402" s="1">
        <v>45449</v>
      </c>
      <c r="C402" t="s">
        <v>447</v>
      </c>
      <c r="D402" t="s">
        <v>310</v>
      </c>
      <c r="E402" t="s">
        <v>34</v>
      </c>
      <c r="F402" t="s">
        <v>47</v>
      </c>
      <c r="G402" t="s">
        <v>55</v>
      </c>
      <c r="H402">
        <v>6</v>
      </c>
      <c r="I402">
        <v>2780</v>
      </c>
      <c r="J402">
        <v>30</v>
      </c>
      <c r="K402">
        <v>11676</v>
      </c>
      <c r="L402" t="s">
        <v>45</v>
      </c>
      <c r="M402" s="2">
        <f>Table1[[#This Row],[Revenue_INR]]-Table1[[#This Row],[Price_INR]]</f>
        <v>8896</v>
      </c>
      <c r="N402">
        <f>YEAR(Table1[[#This Row],[Date]])</f>
        <v>2024</v>
      </c>
      <c r="O402" s="2">
        <f t="shared" si="24"/>
        <v>1946</v>
      </c>
      <c r="P402" s="7">
        <f t="shared" si="25"/>
        <v>76.19047619047619</v>
      </c>
      <c r="Q402" s="2">
        <f t="shared" si="26"/>
        <v>5004</v>
      </c>
      <c r="R402" s="5" t="str">
        <f t="shared" si="27"/>
        <v>Below Average</v>
      </c>
      <c r="S402" s="5" t="str">
        <f>Table1[[#This Row],[Quarter]]&amp;" - "&amp;Table1[[#This Row],[City]]</f>
        <v>Q2 - Delhi</v>
      </c>
    </row>
    <row r="403" spans="1:19" x14ac:dyDescent="0.3">
      <c r="A403" t="s">
        <v>467</v>
      </c>
      <c r="B403" s="1">
        <v>45449</v>
      </c>
      <c r="C403" t="s">
        <v>447</v>
      </c>
      <c r="D403" t="s">
        <v>310</v>
      </c>
      <c r="E403" t="s">
        <v>15</v>
      </c>
      <c r="F403" t="s">
        <v>21</v>
      </c>
      <c r="G403" t="s">
        <v>94</v>
      </c>
      <c r="H403">
        <v>8</v>
      </c>
      <c r="I403">
        <v>2310</v>
      </c>
      <c r="J403">
        <v>10</v>
      </c>
      <c r="K403">
        <v>16632</v>
      </c>
      <c r="L403" t="s">
        <v>18</v>
      </c>
      <c r="M403" s="2">
        <f>Table1[[#This Row],[Revenue_INR]]-Table1[[#This Row],[Price_INR]]</f>
        <v>14322</v>
      </c>
      <c r="N403">
        <f>YEAR(Table1[[#This Row],[Date]])</f>
        <v>2024</v>
      </c>
      <c r="O403" s="2">
        <f t="shared" si="24"/>
        <v>2079</v>
      </c>
      <c r="P403" s="7">
        <f t="shared" si="25"/>
        <v>86.111111111111114</v>
      </c>
      <c r="Q403" s="2">
        <f t="shared" si="26"/>
        <v>1848</v>
      </c>
      <c r="R403" s="5" t="str">
        <f t="shared" si="27"/>
        <v>Below Average</v>
      </c>
      <c r="S403" s="5" t="str">
        <f>Table1[[#This Row],[Quarter]]&amp;" - "&amp;Table1[[#This Row],[City]]</f>
        <v>Q2 - Kolkata</v>
      </c>
    </row>
    <row r="404" spans="1:19" x14ac:dyDescent="0.3">
      <c r="A404" t="s">
        <v>468</v>
      </c>
      <c r="B404" s="1">
        <v>45449</v>
      </c>
      <c r="C404" t="s">
        <v>447</v>
      </c>
      <c r="D404" t="s">
        <v>310</v>
      </c>
      <c r="E404" t="s">
        <v>15</v>
      </c>
      <c r="F404" t="s">
        <v>60</v>
      </c>
      <c r="G404" t="s">
        <v>99</v>
      </c>
      <c r="H404">
        <v>4</v>
      </c>
      <c r="I404">
        <v>2430</v>
      </c>
      <c r="J404">
        <v>15</v>
      </c>
      <c r="K404">
        <v>8262</v>
      </c>
      <c r="L404" t="s">
        <v>53</v>
      </c>
      <c r="M404" s="2">
        <f>Table1[[#This Row],[Revenue_INR]]-Table1[[#This Row],[Price_INR]]</f>
        <v>5832</v>
      </c>
      <c r="N404">
        <f>YEAR(Table1[[#This Row],[Date]])</f>
        <v>2024</v>
      </c>
      <c r="O404" s="2">
        <f t="shared" si="24"/>
        <v>2065.5</v>
      </c>
      <c r="P404" s="7">
        <f t="shared" si="25"/>
        <v>70.588235294117652</v>
      </c>
      <c r="Q404" s="2">
        <f t="shared" si="26"/>
        <v>1458</v>
      </c>
      <c r="R404" s="5" t="str">
        <f t="shared" si="27"/>
        <v>Below Average</v>
      </c>
      <c r="S404" s="5" t="str">
        <f>Table1[[#This Row],[Quarter]]&amp;" - "&amp;Table1[[#This Row],[City]]</f>
        <v>Q2 - Kolkata</v>
      </c>
    </row>
    <row r="405" spans="1:19" x14ac:dyDescent="0.3">
      <c r="A405" t="s">
        <v>469</v>
      </c>
      <c r="B405" s="1">
        <v>45449</v>
      </c>
      <c r="C405" t="s">
        <v>447</v>
      </c>
      <c r="D405" t="s">
        <v>310</v>
      </c>
      <c r="E405" t="s">
        <v>20</v>
      </c>
      <c r="F405" t="s">
        <v>31</v>
      </c>
      <c r="G405" t="s">
        <v>131</v>
      </c>
      <c r="H405">
        <v>7</v>
      </c>
      <c r="I405">
        <v>4790</v>
      </c>
      <c r="J405">
        <v>30</v>
      </c>
      <c r="K405">
        <v>23471</v>
      </c>
      <c r="L405" t="s">
        <v>39</v>
      </c>
      <c r="M405" s="2">
        <f>Table1[[#This Row],[Revenue_INR]]-Table1[[#This Row],[Price_INR]]</f>
        <v>18681</v>
      </c>
      <c r="N405">
        <f>YEAR(Table1[[#This Row],[Date]])</f>
        <v>2024</v>
      </c>
      <c r="O405" s="2">
        <f t="shared" si="24"/>
        <v>3353</v>
      </c>
      <c r="P405" s="7">
        <f t="shared" si="25"/>
        <v>79.591836734693871</v>
      </c>
      <c r="Q405" s="2">
        <f t="shared" si="26"/>
        <v>10059</v>
      </c>
      <c r="R405" s="5" t="str">
        <f t="shared" si="27"/>
        <v>Below Average</v>
      </c>
      <c r="S405" s="5" t="str">
        <f>Table1[[#This Row],[Quarter]]&amp;" - "&amp;Table1[[#This Row],[City]]</f>
        <v>Q2 - Mumbai</v>
      </c>
    </row>
    <row r="406" spans="1:19" x14ac:dyDescent="0.3">
      <c r="A406" t="s">
        <v>470</v>
      </c>
      <c r="B406" s="1">
        <v>45449</v>
      </c>
      <c r="C406" t="s">
        <v>447</v>
      </c>
      <c r="D406" t="s">
        <v>310</v>
      </c>
      <c r="E406" t="s">
        <v>34</v>
      </c>
      <c r="F406" t="s">
        <v>16</v>
      </c>
      <c r="G406" t="s">
        <v>69</v>
      </c>
      <c r="H406">
        <v>4</v>
      </c>
      <c r="I406">
        <v>900</v>
      </c>
      <c r="J406">
        <v>25</v>
      </c>
      <c r="K406">
        <v>2700</v>
      </c>
      <c r="L406" t="s">
        <v>49</v>
      </c>
      <c r="M406" s="2">
        <f>Table1[[#This Row],[Revenue_INR]]-Table1[[#This Row],[Price_INR]]</f>
        <v>1800</v>
      </c>
      <c r="N406">
        <f>YEAR(Table1[[#This Row],[Date]])</f>
        <v>2024</v>
      </c>
      <c r="O406" s="2">
        <f t="shared" si="24"/>
        <v>675</v>
      </c>
      <c r="P406" s="7">
        <f t="shared" si="25"/>
        <v>66.666666666666657</v>
      </c>
      <c r="Q406" s="2">
        <f t="shared" si="26"/>
        <v>900</v>
      </c>
      <c r="R406" s="5" t="str">
        <f t="shared" si="27"/>
        <v>Below Average</v>
      </c>
      <c r="S406" s="5" t="str">
        <f>Table1[[#This Row],[Quarter]]&amp;" - "&amp;Table1[[#This Row],[City]]</f>
        <v>Q2 - Delhi</v>
      </c>
    </row>
    <row r="407" spans="1:19" x14ac:dyDescent="0.3">
      <c r="A407" t="s">
        <v>471</v>
      </c>
      <c r="B407" s="1">
        <v>45449</v>
      </c>
      <c r="C407" t="s">
        <v>447</v>
      </c>
      <c r="D407" t="s">
        <v>310</v>
      </c>
      <c r="E407" t="s">
        <v>20</v>
      </c>
      <c r="F407" t="s">
        <v>21</v>
      </c>
      <c r="G407" t="s">
        <v>22</v>
      </c>
      <c r="H407">
        <v>11</v>
      </c>
      <c r="I407">
        <v>840</v>
      </c>
      <c r="J407">
        <v>0</v>
      </c>
      <c r="K407">
        <v>9240</v>
      </c>
      <c r="L407" t="s">
        <v>39</v>
      </c>
      <c r="M407" s="2">
        <f>Table1[[#This Row],[Revenue_INR]]-Table1[[#This Row],[Price_INR]]</f>
        <v>8400</v>
      </c>
      <c r="N407">
        <f>YEAR(Table1[[#This Row],[Date]])</f>
        <v>2024</v>
      </c>
      <c r="O407" s="2">
        <f t="shared" si="24"/>
        <v>840</v>
      </c>
      <c r="P407" s="7">
        <f t="shared" si="25"/>
        <v>90.909090909090907</v>
      </c>
      <c r="Q407" s="2">
        <f t="shared" si="26"/>
        <v>0</v>
      </c>
      <c r="R407" s="5" t="str">
        <f t="shared" si="27"/>
        <v>Below Average</v>
      </c>
      <c r="S407" s="5" t="str">
        <f>Table1[[#This Row],[Quarter]]&amp;" - "&amp;Table1[[#This Row],[City]]</f>
        <v>Q2 - Mumbai</v>
      </c>
    </row>
    <row r="408" spans="1:19" x14ac:dyDescent="0.3">
      <c r="A408" t="s">
        <v>472</v>
      </c>
      <c r="B408" s="1">
        <v>45450</v>
      </c>
      <c r="C408" t="s">
        <v>447</v>
      </c>
      <c r="D408" t="s">
        <v>310</v>
      </c>
      <c r="E408" t="s">
        <v>25</v>
      </c>
      <c r="F408" t="s">
        <v>16</v>
      </c>
      <c r="G408" t="s">
        <v>69</v>
      </c>
      <c r="H408">
        <v>11</v>
      </c>
      <c r="I408">
        <v>2740</v>
      </c>
      <c r="J408">
        <v>0</v>
      </c>
      <c r="K408">
        <v>30140</v>
      </c>
      <c r="L408" t="s">
        <v>28</v>
      </c>
      <c r="M408" s="2">
        <f>Table1[[#This Row],[Revenue_INR]]-Table1[[#This Row],[Price_INR]]</f>
        <v>27400</v>
      </c>
      <c r="N408">
        <f>YEAR(Table1[[#This Row],[Date]])</f>
        <v>2024</v>
      </c>
      <c r="O408" s="2">
        <f t="shared" si="24"/>
        <v>2740</v>
      </c>
      <c r="P408" s="7">
        <f t="shared" si="25"/>
        <v>90.909090909090907</v>
      </c>
      <c r="Q408" s="2">
        <f t="shared" si="26"/>
        <v>0</v>
      </c>
      <c r="R408" s="5" t="str">
        <f t="shared" si="27"/>
        <v>Above Average</v>
      </c>
      <c r="S408" s="5" t="str">
        <f>Table1[[#This Row],[Quarter]]&amp;" - "&amp;Table1[[#This Row],[City]]</f>
        <v>Q2 - Hyderabad</v>
      </c>
    </row>
    <row r="409" spans="1:19" x14ac:dyDescent="0.3">
      <c r="A409" t="s">
        <v>473</v>
      </c>
      <c r="B409" s="1">
        <v>45450</v>
      </c>
      <c r="C409" t="s">
        <v>447</v>
      </c>
      <c r="D409" t="s">
        <v>310</v>
      </c>
      <c r="E409" t="s">
        <v>34</v>
      </c>
      <c r="F409" t="s">
        <v>16</v>
      </c>
      <c r="G409" t="s">
        <v>41</v>
      </c>
      <c r="H409">
        <v>12</v>
      </c>
      <c r="I409">
        <v>650</v>
      </c>
      <c r="J409">
        <v>0</v>
      </c>
      <c r="K409">
        <v>7800</v>
      </c>
      <c r="L409" t="s">
        <v>36</v>
      </c>
      <c r="M409" s="2">
        <f>Table1[[#This Row],[Revenue_INR]]-Table1[[#This Row],[Price_INR]]</f>
        <v>7150</v>
      </c>
      <c r="N409">
        <f>YEAR(Table1[[#This Row],[Date]])</f>
        <v>2024</v>
      </c>
      <c r="O409" s="2">
        <f t="shared" si="24"/>
        <v>650</v>
      </c>
      <c r="P409" s="7">
        <f t="shared" si="25"/>
        <v>91.666666666666657</v>
      </c>
      <c r="Q409" s="2">
        <f t="shared" si="26"/>
        <v>0</v>
      </c>
      <c r="R409" s="5" t="str">
        <f t="shared" si="27"/>
        <v>Below Average</v>
      </c>
      <c r="S409" s="5" t="str">
        <f>Table1[[#This Row],[Quarter]]&amp;" - "&amp;Table1[[#This Row],[City]]</f>
        <v>Q2 - Delhi</v>
      </c>
    </row>
    <row r="410" spans="1:19" x14ac:dyDescent="0.3">
      <c r="A410" t="s">
        <v>474</v>
      </c>
      <c r="B410" s="1">
        <v>45450</v>
      </c>
      <c r="C410" t="s">
        <v>447</v>
      </c>
      <c r="D410" t="s">
        <v>310</v>
      </c>
      <c r="E410" t="s">
        <v>20</v>
      </c>
      <c r="F410" t="s">
        <v>16</v>
      </c>
      <c r="G410" t="s">
        <v>41</v>
      </c>
      <c r="H410">
        <v>1</v>
      </c>
      <c r="I410">
        <v>1670</v>
      </c>
      <c r="J410">
        <v>10</v>
      </c>
      <c r="K410">
        <v>1503</v>
      </c>
      <c r="L410" t="s">
        <v>39</v>
      </c>
      <c r="M410" s="2">
        <f>Table1[[#This Row],[Revenue_INR]]-Table1[[#This Row],[Price_INR]]</f>
        <v>-167</v>
      </c>
      <c r="N410">
        <f>YEAR(Table1[[#This Row],[Date]])</f>
        <v>2024</v>
      </c>
      <c r="O410" s="2">
        <f t="shared" si="24"/>
        <v>1503</v>
      </c>
      <c r="P410" s="7">
        <f t="shared" si="25"/>
        <v>-11.111111111111111</v>
      </c>
      <c r="Q410" s="2">
        <f t="shared" si="26"/>
        <v>167</v>
      </c>
      <c r="R410" s="5" t="str">
        <f t="shared" si="27"/>
        <v>Below Average</v>
      </c>
      <c r="S410" s="5" t="str">
        <f>Table1[[#This Row],[Quarter]]&amp;" - "&amp;Table1[[#This Row],[City]]</f>
        <v>Q2 - Mumbai</v>
      </c>
    </row>
    <row r="411" spans="1:19" x14ac:dyDescent="0.3">
      <c r="A411" t="s">
        <v>475</v>
      </c>
      <c r="B411" s="1">
        <v>45450</v>
      </c>
      <c r="C411" t="s">
        <v>447</v>
      </c>
      <c r="D411" t="s">
        <v>310</v>
      </c>
      <c r="E411" t="s">
        <v>34</v>
      </c>
      <c r="F411" t="s">
        <v>26</v>
      </c>
      <c r="G411" t="s">
        <v>82</v>
      </c>
      <c r="H411">
        <v>15</v>
      </c>
      <c r="I411">
        <v>2470</v>
      </c>
      <c r="J411">
        <v>15</v>
      </c>
      <c r="K411">
        <v>31492.5</v>
      </c>
      <c r="L411" t="s">
        <v>45</v>
      </c>
      <c r="M411" s="2">
        <f>Table1[[#This Row],[Revenue_INR]]-Table1[[#This Row],[Price_INR]]</f>
        <v>29022.5</v>
      </c>
      <c r="N411">
        <f>YEAR(Table1[[#This Row],[Date]])</f>
        <v>2024</v>
      </c>
      <c r="O411" s="2">
        <f t="shared" si="24"/>
        <v>2099.5</v>
      </c>
      <c r="P411" s="7">
        <f t="shared" si="25"/>
        <v>92.156862745098039</v>
      </c>
      <c r="Q411" s="2">
        <f t="shared" si="26"/>
        <v>5557.5</v>
      </c>
      <c r="R411" s="5" t="str">
        <f t="shared" si="27"/>
        <v>Above Average</v>
      </c>
      <c r="S411" s="5" t="str">
        <f>Table1[[#This Row],[Quarter]]&amp;" - "&amp;Table1[[#This Row],[City]]</f>
        <v>Q2 - Delhi</v>
      </c>
    </row>
    <row r="412" spans="1:19" x14ac:dyDescent="0.3">
      <c r="A412" t="s">
        <v>476</v>
      </c>
      <c r="B412" s="1">
        <v>45450</v>
      </c>
      <c r="C412" t="s">
        <v>447</v>
      </c>
      <c r="D412" t="s">
        <v>310</v>
      </c>
      <c r="E412" t="s">
        <v>15</v>
      </c>
      <c r="F412" t="s">
        <v>16</v>
      </c>
      <c r="G412" t="s">
        <v>41</v>
      </c>
      <c r="H412">
        <v>11</v>
      </c>
      <c r="I412">
        <v>1710</v>
      </c>
      <c r="J412">
        <v>20</v>
      </c>
      <c r="K412">
        <v>15048</v>
      </c>
      <c r="L412" t="s">
        <v>53</v>
      </c>
      <c r="M412" s="2">
        <f>Table1[[#This Row],[Revenue_INR]]-Table1[[#This Row],[Price_INR]]</f>
        <v>13338</v>
      </c>
      <c r="N412">
        <f>YEAR(Table1[[#This Row],[Date]])</f>
        <v>2024</v>
      </c>
      <c r="O412" s="2">
        <f t="shared" si="24"/>
        <v>1368</v>
      </c>
      <c r="P412" s="7">
        <f t="shared" si="25"/>
        <v>88.63636363636364</v>
      </c>
      <c r="Q412" s="2">
        <f t="shared" si="26"/>
        <v>3762</v>
      </c>
      <c r="R412" s="5" t="str">
        <f t="shared" si="27"/>
        <v>Below Average</v>
      </c>
      <c r="S412" s="5" t="str">
        <f>Table1[[#This Row],[Quarter]]&amp;" - "&amp;Table1[[#This Row],[City]]</f>
        <v>Q2 - Kolkata</v>
      </c>
    </row>
    <row r="413" spans="1:19" x14ac:dyDescent="0.3">
      <c r="A413" t="s">
        <v>477</v>
      </c>
      <c r="B413" s="1">
        <v>45451</v>
      </c>
      <c r="C413" t="s">
        <v>447</v>
      </c>
      <c r="D413" t="s">
        <v>310</v>
      </c>
      <c r="E413" t="s">
        <v>34</v>
      </c>
      <c r="F413" t="s">
        <v>21</v>
      </c>
      <c r="G413" t="s">
        <v>71</v>
      </c>
      <c r="H413">
        <v>15</v>
      </c>
      <c r="I413">
        <v>2650</v>
      </c>
      <c r="J413">
        <v>25</v>
      </c>
      <c r="K413">
        <v>29812.5</v>
      </c>
      <c r="L413" t="s">
        <v>36</v>
      </c>
      <c r="M413" s="2">
        <f>Table1[[#This Row],[Revenue_INR]]-Table1[[#This Row],[Price_INR]]</f>
        <v>27162.5</v>
      </c>
      <c r="N413">
        <f>YEAR(Table1[[#This Row],[Date]])</f>
        <v>2024</v>
      </c>
      <c r="O413" s="2">
        <f t="shared" si="24"/>
        <v>1987.5</v>
      </c>
      <c r="P413" s="7">
        <f t="shared" si="25"/>
        <v>91.111111111111114</v>
      </c>
      <c r="Q413" s="2">
        <f t="shared" si="26"/>
        <v>9937.5</v>
      </c>
      <c r="R413" s="5" t="str">
        <f t="shared" si="27"/>
        <v>Above Average</v>
      </c>
      <c r="S413" s="5" t="str">
        <f>Table1[[#This Row],[Quarter]]&amp;" - "&amp;Table1[[#This Row],[City]]</f>
        <v>Q2 - Delhi</v>
      </c>
    </row>
    <row r="414" spans="1:19" x14ac:dyDescent="0.3">
      <c r="A414" t="s">
        <v>478</v>
      </c>
      <c r="B414" s="1">
        <v>45451</v>
      </c>
      <c r="C414" t="s">
        <v>447</v>
      </c>
      <c r="D414" t="s">
        <v>310</v>
      </c>
      <c r="E414" t="s">
        <v>15</v>
      </c>
      <c r="F414" t="s">
        <v>60</v>
      </c>
      <c r="G414" t="s">
        <v>61</v>
      </c>
      <c r="H414">
        <v>11</v>
      </c>
      <c r="I414">
        <v>1590</v>
      </c>
      <c r="J414">
        <v>25</v>
      </c>
      <c r="K414">
        <v>13117.5</v>
      </c>
      <c r="L414" t="s">
        <v>92</v>
      </c>
      <c r="M414" s="2">
        <f>Table1[[#This Row],[Revenue_INR]]-Table1[[#This Row],[Price_INR]]</f>
        <v>11527.5</v>
      </c>
      <c r="N414">
        <f>YEAR(Table1[[#This Row],[Date]])</f>
        <v>2024</v>
      </c>
      <c r="O414" s="2">
        <f t="shared" si="24"/>
        <v>1192.5</v>
      </c>
      <c r="P414" s="7">
        <f t="shared" si="25"/>
        <v>87.878787878787875</v>
      </c>
      <c r="Q414" s="2">
        <f t="shared" si="26"/>
        <v>4372.5</v>
      </c>
      <c r="R414" s="5" t="str">
        <f t="shared" si="27"/>
        <v>Below Average</v>
      </c>
      <c r="S414" s="5" t="str">
        <f>Table1[[#This Row],[Quarter]]&amp;" - "&amp;Table1[[#This Row],[City]]</f>
        <v>Q2 - Kolkata</v>
      </c>
    </row>
    <row r="415" spans="1:19" x14ac:dyDescent="0.3">
      <c r="A415" t="s">
        <v>479</v>
      </c>
      <c r="B415" s="1">
        <v>45451</v>
      </c>
      <c r="C415" t="s">
        <v>447</v>
      </c>
      <c r="D415" t="s">
        <v>310</v>
      </c>
      <c r="E415" t="s">
        <v>25</v>
      </c>
      <c r="F415" t="s">
        <v>47</v>
      </c>
      <c r="G415" t="s">
        <v>102</v>
      </c>
      <c r="H415">
        <v>3</v>
      </c>
      <c r="I415">
        <v>5170</v>
      </c>
      <c r="J415">
        <v>10</v>
      </c>
      <c r="K415">
        <v>13959</v>
      </c>
      <c r="L415" t="s">
        <v>66</v>
      </c>
      <c r="M415" s="2">
        <f>Table1[[#This Row],[Revenue_INR]]-Table1[[#This Row],[Price_INR]]</f>
        <v>8789</v>
      </c>
      <c r="N415">
        <f>YEAR(Table1[[#This Row],[Date]])</f>
        <v>2024</v>
      </c>
      <c r="O415" s="2">
        <f t="shared" si="24"/>
        <v>4653</v>
      </c>
      <c r="P415" s="7">
        <f t="shared" si="25"/>
        <v>62.962962962962962</v>
      </c>
      <c r="Q415" s="2">
        <f t="shared" si="26"/>
        <v>1551</v>
      </c>
      <c r="R415" s="5" t="str">
        <f t="shared" si="27"/>
        <v>Below Average</v>
      </c>
      <c r="S415" s="5" t="str">
        <f>Table1[[#This Row],[Quarter]]&amp;" - "&amp;Table1[[#This Row],[City]]</f>
        <v>Q2 - Hyderabad</v>
      </c>
    </row>
    <row r="416" spans="1:19" x14ac:dyDescent="0.3">
      <c r="A416" t="s">
        <v>480</v>
      </c>
      <c r="B416" s="1">
        <v>45451</v>
      </c>
      <c r="C416" t="s">
        <v>447</v>
      </c>
      <c r="D416" t="s">
        <v>310</v>
      </c>
      <c r="E416" t="s">
        <v>20</v>
      </c>
      <c r="F416" t="s">
        <v>47</v>
      </c>
      <c r="G416" t="s">
        <v>55</v>
      </c>
      <c r="H416">
        <v>14</v>
      </c>
      <c r="I416">
        <v>8140</v>
      </c>
      <c r="J416">
        <v>10</v>
      </c>
      <c r="K416">
        <v>102564</v>
      </c>
      <c r="L416" t="s">
        <v>23</v>
      </c>
      <c r="M416" s="2">
        <f>Table1[[#This Row],[Revenue_INR]]-Table1[[#This Row],[Price_INR]]</f>
        <v>94424</v>
      </c>
      <c r="N416">
        <f>YEAR(Table1[[#This Row],[Date]])</f>
        <v>2024</v>
      </c>
      <c r="O416" s="2">
        <f t="shared" si="24"/>
        <v>7326</v>
      </c>
      <c r="P416" s="7">
        <f t="shared" si="25"/>
        <v>92.063492063492063</v>
      </c>
      <c r="Q416" s="2">
        <f t="shared" si="26"/>
        <v>11396</v>
      </c>
      <c r="R416" s="5" t="str">
        <f t="shared" si="27"/>
        <v>Above Average</v>
      </c>
      <c r="S416" s="5" t="str">
        <f>Table1[[#This Row],[Quarter]]&amp;" - "&amp;Table1[[#This Row],[City]]</f>
        <v>Q2 - Mumbai</v>
      </c>
    </row>
    <row r="417" spans="1:19" x14ac:dyDescent="0.3">
      <c r="A417" t="s">
        <v>481</v>
      </c>
      <c r="B417" s="1">
        <v>45452</v>
      </c>
      <c r="C417" t="s">
        <v>447</v>
      </c>
      <c r="D417" t="s">
        <v>310</v>
      </c>
      <c r="E417" t="s">
        <v>15</v>
      </c>
      <c r="F417" t="s">
        <v>47</v>
      </c>
      <c r="G417" t="s">
        <v>102</v>
      </c>
      <c r="H417">
        <v>6</v>
      </c>
      <c r="I417">
        <v>7110</v>
      </c>
      <c r="J417">
        <v>15</v>
      </c>
      <c r="K417">
        <v>36261</v>
      </c>
      <c r="L417" t="s">
        <v>18</v>
      </c>
      <c r="M417" s="2">
        <f>Table1[[#This Row],[Revenue_INR]]-Table1[[#This Row],[Price_INR]]</f>
        <v>29151</v>
      </c>
      <c r="N417">
        <f>YEAR(Table1[[#This Row],[Date]])</f>
        <v>2024</v>
      </c>
      <c r="O417" s="2">
        <f t="shared" si="24"/>
        <v>6043.5</v>
      </c>
      <c r="P417" s="7">
        <f t="shared" si="25"/>
        <v>80.392156862745097</v>
      </c>
      <c r="Q417" s="2">
        <f t="shared" si="26"/>
        <v>6399</v>
      </c>
      <c r="R417" s="5" t="str">
        <f t="shared" si="27"/>
        <v>Above Average</v>
      </c>
      <c r="S417" s="5" t="str">
        <f>Table1[[#This Row],[Quarter]]&amp;" - "&amp;Table1[[#This Row],[City]]</f>
        <v>Q2 - Kolkata</v>
      </c>
    </row>
    <row r="418" spans="1:19" x14ac:dyDescent="0.3">
      <c r="A418" t="s">
        <v>482</v>
      </c>
      <c r="B418" s="1">
        <v>45452</v>
      </c>
      <c r="C418" t="s">
        <v>447</v>
      </c>
      <c r="D418" t="s">
        <v>310</v>
      </c>
      <c r="E418" t="s">
        <v>25</v>
      </c>
      <c r="F418" t="s">
        <v>47</v>
      </c>
      <c r="G418" t="s">
        <v>48</v>
      </c>
      <c r="H418">
        <v>9</v>
      </c>
      <c r="I418">
        <v>7900</v>
      </c>
      <c r="J418">
        <v>30</v>
      </c>
      <c r="K418">
        <v>49770</v>
      </c>
      <c r="L418" t="s">
        <v>66</v>
      </c>
      <c r="M418" s="2">
        <f>Table1[[#This Row],[Revenue_INR]]-Table1[[#This Row],[Price_INR]]</f>
        <v>41870</v>
      </c>
      <c r="N418">
        <f>YEAR(Table1[[#This Row],[Date]])</f>
        <v>2024</v>
      </c>
      <c r="O418" s="2">
        <f t="shared" si="24"/>
        <v>5530</v>
      </c>
      <c r="P418" s="7">
        <f t="shared" si="25"/>
        <v>84.126984126984127</v>
      </c>
      <c r="Q418" s="2">
        <f t="shared" si="26"/>
        <v>21330</v>
      </c>
      <c r="R418" s="5" t="str">
        <f t="shared" si="27"/>
        <v>Above Average</v>
      </c>
      <c r="S418" s="5" t="str">
        <f>Table1[[#This Row],[Quarter]]&amp;" - "&amp;Table1[[#This Row],[City]]</f>
        <v>Q2 - Hyderabad</v>
      </c>
    </row>
    <row r="419" spans="1:19" x14ac:dyDescent="0.3">
      <c r="A419" t="s">
        <v>483</v>
      </c>
      <c r="B419" s="1">
        <v>45453</v>
      </c>
      <c r="C419" t="s">
        <v>447</v>
      </c>
      <c r="D419" t="s">
        <v>310</v>
      </c>
      <c r="E419" t="s">
        <v>20</v>
      </c>
      <c r="F419" t="s">
        <v>26</v>
      </c>
      <c r="G419" t="s">
        <v>80</v>
      </c>
      <c r="H419">
        <v>4</v>
      </c>
      <c r="I419">
        <v>5810</v>
      </c>
      <c r="J419">
        <v>25</v>
      </c>
      <c r="K419">
        <v>17430</v>
      </c>
      <c r="L419" t="s">
        <v>23</v>
      </c>
      <c r="M419" s="2">
        <f>Table1[[#This Row],[Revenue_INR]]-Table1[[#This Row],[Price_INR]]</f>
        <v>11620</v>
      </c>
      <c r="N419">
        <f>YEAR(Table1[[#This Row],[Date]])</f>
        <v>2024</v>
      </c>
      <c r="O419" s="2">
        <f t="shared" si="24"/>
        <v>4357.5</v>
      </c>
      <c r="P419" s="7">
        <f t="shared" si="25"/>
        <v>66.666666666666657</v>
      </c>
      <c r="Q419" s="2">
        <f t="shared" si="26"/>
        <v>5810</v>
      </c>
      <c r="R419" s="5" t="str">
        <f t="shared" si="27"/>
        <v>Below Average</v>
      </c>
      <c r="S419" s="5" t="str">
        <f>Table1[[#This Row],[Quarter]]&amp;" - "&amp;Table1[[#This Row],[City]]</f>
        <v>Q2 - Mumbai</v>
      </c>
    </row>
    <row r="420" spans="1:19" x14ac:dyDescent="0.3">
      <c r="A420" t="s">
        <v>484</v>
      </c>
      <c r="B420" s="1">
        <v>45453</v>
      </c>
      <c r="C420" t="s">
        <v>447</v>
      </c>
      <c r="D420" t="s">
        <v>310</v>
      </c>
      <c r="E420" t="s">
        <v>15</v>
      </c>
      <c r="F420" t="s">
        <v>47</v>
      </c>
      <c r="G420" t="s">
        <v>102</v>
      </c>
      <c r="H420">
        <v>8</v>
      </c>
      <c r="I420">
        <v>2620</v>
      </c>
      <c r="J420">
        <v>15</v>
      </c>
      <c r="K420">
        <v>17816</v>
      </c>
      <c r="L420" t="s">
        <v>92</v>
      </c>
      <c r="M420" s="2">
        <f>Table1[[#This Row],[Revenue_INR]]-Table1[[#This Row],[Price_INR]]</f>
        <v>15196</v>
      </c>
      <c r="N420">
        <f>YEAR(Table1[[#This Row],[Date]])</f>
        <v>2024</v>
      </c>
      <c r="O420" s="2">
        <f t="shared" si="24"/>
        <v>2227</v>
      </c>
      <c r="P420" s="7">
        <f t="shared" si="25"/>
        <v>85.294117647058826</v>
      </c>
      <c r="Q420" s="2">
        <f t="shared" si="26"/>
        <v>3144</v>
      </c>
      <c r="R420" s="5" t="str">
        <f t="shared" si="27"/>
        <v>Below Average</v>
      </c>
      <c r="S420" s="5" t="str">
        <f>Table1[[#This Row],[Quarter]]&amp;" - "&amp;Table1[[#This Row],[City]]</f>
        <v>Q2 - Kolkata</v>
      </c>
    </row>
    <row r="421" spans="1:19" x14ac:dyDescent="0.3">
      <c r="A421" t="s">
        <v>485</v>
      </c>
      <c r="B421" s="1">
        <v>45453</v>
      </c>
      <c r="C421" t="s">
        <v>447</v>
      </c>
      <c r="D421" t="s">
        <v>310</v>
      </c>
      <c r="E421" t="s">
        <v>34</v>
      </c>
      <c r="F421" t="s">
        <v>47</v>
      </c>
      <c r="G421" t="s">
        <v>102</v>
      </c>
      <c r="H421">
        <v>7</v>
      </c>
      <c r="I421">
        <v>5160</v>
      </c>
      <c r="J421">
        <v>15</v>
      </c>
      <c r="K421">
        <v>30702</v>
      </c>
      <c r="L421" t="s">
        <v>45</v>
      </c>
      <c r="M421" s="2">
        <f>Table1[[#This Row],[Revenue_INR]]-Table1[[#This Row],[Price_INR]]</f>
        <v>25542</v>
      </c>
      <c r="N421">
        <f>YEAR(Table1[[#This Row],[Date]])</f>
        <v>2024</v>
      </c>
      <c r="O421" s="2">
        <f t="shared" si="24"/>
        <v>4386</v>
      </c>
      <c r="P421" s="7">
        <f t="shared" si="25"/>
        <v>83.193277310924373</v>
      </c>
      <c r="Q421" s="2">
        <f t="shared" si="26"/>
        <v>5418</v>
      </c>
      <c r="R421" s="5" t="str">
        <f t="shared" si="27"/>
        <v>Above Average</v>
      </c>
      <c r="S421" s="5" t="str">
        <f>Table1[[#This Row],[Quarter]]&amp;" - "&amp;Table1[[#This Row],[City]]</f>
        <v>Q2 - Delhi</v>
      </c>
    </row>
    <row r="422" spans="1:19" x14ac:dyDescent="0.3">
      <c r="A422" t="s">
        <v>486</v>
      </c>
      <c r="B422" s="1">
        <v>45453</v>
      </c>
      <c r="C422" t="s">
        <v>447</v>
      </c>
      <c r="D422" t="s">
        <v>310</v>
      </c>
      <c r="E422" t="s">
        <v>34</v>
      </c>
      <c r="F422" t="s">
        <v>47</v>
      </c>
      <c r="G422" t="s">
        <v>48</v>
      </c>
      <c r="H422">
        <v>15</v>
      </c>
      <c r="I422">
        <v>2460</v>
      </c>
      <c r="J422">
        <v>20</v>
      </c>
      <c r="K422">
        <v>29520</v>
      </c>
      <c r="L422" t="s">
        <v>45</v>
      </c>
      <c r="M422" s="2">
        <f>Table1[[#This Row],[Revenue_INR]]-Table1[[#This Row],[Price_INR]]</f>
        <v>27060</v>
      </c>
      <c r="N422">
        <f>YEAR(Table1[[#This Row],[Date]])</f>
        <v>2024</v>
      </c>
      <c r="O422" s="2">
        <f t="shared" si="24"/>
        <v>1968</v>
      </c>
      <c r="P422" s="7">
        <f t="shared" si="25"/>
        <v>91.666666666666657</v>
      </c>
      <c r="Q422" s="2">
        <f t="shared" si="26"/>
        <v>7380</v>
      </c>
      <c r="R422" s="5" t="str">
        <f t="shared" si="27"/>
        <v>Above Average</v>
      </c>
      <c r="S422" s="5" t="str">
        <f>Table1[[#This Row],[Quarter]]&amp;" - "&amp;Table1[[#This Row],[City]]</f>
        <v>Q2 - Delhi</v>
      </c>
    </row>
    <row r="423" spans="1:19" x14ac:dyDescent="0.3">
      <c r="A423" t="s">
        <v>487</v>
      </c>
      <c r="B423" s="1">
        <v>45454</v>
      </c>
      <c r="C423" t="s">
        <v>447</v>
      </c>
      <c r="D423" t="s">
        <v>310</v>
      </c>
      <c r="E423" t="s">
        <v>34</v>
      </c>
      <c r="F423" t="s">
        <v>21</v>
      </c>
      <c r="G423" t="s">
        <v>22</v>
      </c>
      <c r="H423">
        <v>1</v>
      </c>
      <c r="I423">
        <v>2320</v>
      </c>
      <c r="J423">
        <v>25</v>
      </c>
      <c r="K423">
        <v>1740</v>
      </c>
      <c r="L423" t="s">
        <v>49</v>
      </c>
      <c r="M423" s="2">
        <f>Table1[[#This Row],[Revenue_INR]]-Table1[[#This Row],[Price_INR]]</f>
        <v>-580</v>
      </c>
      <c r="N423">
        <f>YEAR(Table1[[#This Row],[Date]])</f>
        <v>2024</v>
      </c>
      <c r="O423" s="2">
        <f t="shared" si="24"/>
        <v>1740</v>
      </c>
      <c r="P423" s="7">
        <f t="shared" si="25"/>
        <v>-33.333333333333329</v>
      </c>
      <c r="Q423" s="2">
        <f t="shared" si="26"/>
        <v>580</v>
      </c>
      <c r="R423" s="5" t="str">
        <f t="shared" si="27"/>
        <v>Below Average</v>
      </c>
      <c r="S423" s="5" t="str">
        <f>Table1[[#This Row],[Quarter]]&amp;" - "&amp;Table1[[#This Row],[City]]</f>
        <v>Q2 - Delhi</v>
      </c>
    </row>
    <row r="424" spans="1:19" x14ac:dyDescent="0.3">
      <c r="A424" t="s">
        <v>488</v>
      </c>
      <c r="B424" s="1">
        <v>45454</v>
      </c>
      <c r="C424" t="s">
        <v>447</v>
      </c>
      <c r="D424" t="s">
        <v>310</v>
      </c>
      <c r="E424" t="s">
        <v>25</v>
      </c>
      <c r="F424" t="s">
        <v>16</v>
      </c>
      <c r="G424" t="s">
        <v>41</v>
      </c>
      <c r="H424">
        <v>8</v>
      </c>
      <c r="I424">
        <v>2440</v>
      </c>
      <c r="J424">
        <v>25</v>
      </c>
      <c r="K424">
        <v>14640</v>
      </c>
      <c r="L424" t="s">
        <v>42</v>
      </c>
      <c r="M424" s="2">
        <f>Table1[[#This Row],[Revenue_INR]]-Table1[[#This Row],[Price_INR]]</f>
        <v>12200</v>
      </c>
      <c r="N424">
        <f>YEAR(Table1[[#This Row],[Date]])</f>
        <v>2024</v>
      </c>
      <c r="O424" s="2">
        <f t="shared" si="24"/>
        <v>1830</v>
      </c>
      <c r="P424" s="7">
        <f t="shared" si="25"/>
        <v>83.333333333333343</v>
      </c>
      <c r="Q424" s="2">
        <f t="shared" si="26"/>
        <v>4880</v>
      </c>
      <c r="R424" s="5" t="str">
        <f t="shared" si="27"/>
        <v>Below Average</v>
      </c>
      <c r="S424" s="5" t="str">
        <f>Table1[[#This Row],[Quarter]]&amp;" - "&amp;Table1[[#This Row],[City]]</f>
        <v>Q2 - Hyderabad</v>
      </c>
    </row>
    <row r="425" spans="1:19" x14ac:dyDescent="0.3">
      <c r="A425" t="s">
        <v>489</v>
      </c>
      <c r="B425" s="1">
        <v>45455</v>
      </c>
      <c r="C425" t="s">
        <v>447</v>
      </c>
      <c r="D425" t="s">
        <v>310</v>
      </c>
      <c r="E425" t="s">
        <v>15</v>
      </c>
      <c r="F425" t="s">
        <v>21</v>
      </c>
      <c r="G425" t="s">
        <v>94</v>
      </c>
      <c r="H425">
        <v>15</v>
      </c>
      <c r="I425">
        <v>1470</v>
      </c>
      <c r="J425">
        <v>25</v>
      </c>
      <c r="K425">
        <v>16537.5</v>
      </c>
      <c r="L425" t="s">
        <v>53</v>
      </c>
      <c r="M425" s="2">
        <f>Table1[[#This Row],[Revenue_INR]]-Table1[[#This Row],[Price_INR]]</f>
        <v>15067.5</v>
      </c>
      <c r="N425">
        <f>YEAR(Table1[[#This Row],[Date]])</f>
        <v>2024</v>
      </c>
      <c r="O425" s="2">
        <f t="shared" si="24"/>
        <v>1102.5</v>
      </c>
      <c r="P425" s="7">
        <f t="shared" si="25"/>
        <v>91.111111111111114</v>
      </c>
      <c r="Q425" s="2">
        <f t="shared" si="26"/>
        <v>5512.5</v>
      </c>
      <c r="R425" s="5" t="str">
        <f t="shared" si="27"/>
        <v>Below Average</v>
      </c>
      <c r="S425" s="5" t="str">
        <f>Table1[[#This Row],[Quarter]]&amp;" - "&amp;Table1[[#This Row],[City]]</f>
        <v>Q2 - Kolkata</v>
      </c>
    </row>
    <row r="426" spans="1:19" x14ac:dyDescent="0.3">
      <c r="A426" t="s">
        <v>490</v>
      </c>
      <c r="B426" s="1">
        <v>45455</v>
      </c>
      <c r="C426" t="s">
        <v>447</v>
      </c>
      <c r="D426" t="s">
        <v>310</v>
      </c>
      <c r="E426" t="s">
        <v>20</v>
      </c>
      <c r="F426" t="s">
        <v>16</v>
      </c>
      <c r="G426" t="s">
        <v>41</v>
      </c>
      <c r="H426">
        <v>9</v>
      </c>
      <c r="I426">
        <v>450</v>
      </c>
      <c r="J426">
        <v>0</v>
      </c>
      <c r="K426">
        <v>4050</v>
      </c>
      <c r="L426" t="s">
        <v>77</v>
      </c>
      <c r="M426" s="2">
        <f>Table1[[#This Row],[Revenue_INR]]-Table1[[#This Row],[Price_INR]]</f>
        <v>3600</v>
      </c>
      <c r="N426">
        <f>YEAR(Table1[[#This Row],[Date]])</f>
        <v>2024</v>
      </c>
      <c r="O426" s="2">
        <f t="shared" si="24"/>
        <v>450</v>
      </c>
      <c r="P426" s="7">
        <f t="shared" si="25"/>
        <v>88.888888888888886</v>
      </c>
      <c r="Q426" s="2">
        <f t="shared" si="26"/>
        <v>0</v>
      </c>
      <c r="R426" s="5" t="str">
        <f t="shared" si="27"/>
        <v>Below Average</v>
      </c>
      <c r="S426" s="5" t="str">
        <f>Table1[[#This Row],[Quarter]]&amp;" - "&amp;Table1[[#This Row],[City]]</f>
        <v>Q2 - Mumbai</v>
      </c>
    </row>
    <row r="427" spans="1:19" x14ac:dyDescent="0.3">
      <c r="A427" t="s">
        <v>491</v>
      </c>
      <c r="B427" s="1">
        <v>45455</v>
      </c>
      <c r="C427" t="s">
        <v>447</v>
      </c>
      <c r="D427" t="s">
        <v>310</v>
      </c>
      <c r="E427" t="s">
        <v>34</v>
      </c>
      <c r="F427" t="s">
        <v>47</v>
      </c>
      <c r="G427" t="s">
        <v>55</v>
      </c>
      <c r="H427">
        <v>12</v>
      </c>
      <c r="I427">
        <v>5070</v>
      </c>
      <c r="J427">
        <v>15</v>
      </c>
      <c r="K427">
        <v>51714</v>
      </c>
      <c r="L427" t="s">
        <v>45</v>
      </c>
      <c r="M427" s="2">
        <f>Table1[[#This Row],[Revenue_INR]]-Table1[[#This Row],[Price_INR]]</f>
        <v>46644</v>
      </c>
      <c r="N427">
        <f>YEAR(Table1[[#This Row],[Date]])</f>
        <v>2024</v>
      </c>
      <c r="O427" s="2">
        <f t="shared" si="24"/>
        <v>4309.5</v>
      </c>
      <c r="P427" s="7">
        <f t="shared" si="25"/>
        <v>90.196078431372555</v>
      </c>
      <c r="Q427" s="2">
        <f t="shared" si="26"/>
        <v>9126</v>
      </c>
      <c r="R427" s="5" t="str">
        <f t="shared" si="27"/>
        <v>Above Average</v>
      </c>
      <c r="S427" s="5" t="str">
        <f>Table1[[#This Row],[Quarter]]&amp;" - "&amp;Table1[[#This Row],[City]]</f>
        <v>Q2 - Delhi</v>
      </c>
    </row>
    <row r="428" spans="1:19" x14ac:dyDescent="0.3">
      <c r="A428" t="s">
        <v>492</v>
      </c>
      <c r="B428" s="1">
        <v>45455</v>
      </c>
      <c r="C428" t="s">
        <v>447</v>
      </c>
      <c r="D428" t="s">
        <v>310</v>
      </c>
      <c r="E428" t="s">
        <v>15</v>
      </c>
      <c r="F428" t="s">
        <v>47</v>
      </c>
      <c r="G428" t="s">
        <v>51</v>
      </c>
      <c r="H428">
        <v>3</v>
      </c>
      <c r="I428">
        <v>4380</v>
      </c>
      <c r="J428">
        <v>10</v>
      </c>
      <c r="K428">
        <v>11826</v>
      </c>
      <c r="L428" t="s">
        <v>18</v>
      </c>
      <c r="M428" s="2">
        <f>Table1[[#This Row],[Revenue_INR]]-Table1[[#This Row],[Price_INR]]</f>
        <v>7446</v>
      </c>
      <c r="N428">
        <f>YEAR(Table1[[#This Row],[Date]])</f>
        <v>2024</v>
      </c>
      <c r="O428" s="2">
        <f t="shared" si="24"/>
        <v>3942</v>
      </c>
      <c r="P428" s="7">
        <f t="shared" si="25"/>
        <v>62.962962962962962</v>
      </c>
      <c r="Q428" s="2">
        <f t="shared" si="26"/>
        <v>1314</v>
      </c>
      <c r="R428" s="5" t="str">
        <f t="shared" si="27"/>
        <v>Below Average</v>
      </c>
      <c r="S428" s="5" t="str">
        <f>Table1[[#This Row],[Quarter]]&amp;" - "&amp;Table1[[#This Row],[City]]</f>
        <v>Q2 - Kolkata</v>
      </c>
    </row>
    <row r="429" spans="1:19" x14ac:dyDescent="0.3">
      <c r="A429" t="s">
        <v>493</v>
      </c>
      <c r="B429" s="1">
        <v>45456</v>
      </c>
      <c r="C429" t="s">
        <v>447</v>
      </c>
      <c r="D429" t="s">
        <v>310</v>
      </c>
      <c r="E429" t="s">
        <v>25</v>
      </c>
      <c r="F429" t="s">
        <v>21</v>
      </c>
      <c r="G429" t="s">
        <v>94</v>
      </c>
      <c r="H429">
        <v>8</v>
      </c>
      <c r="I429">
        <v>3430</v>
      </c>
      <c r="J429">
        <v>30</v>
      </c>
      <c r="K429">
        <v>19208</v>
      </c>
      <c r="L429" t="s">
        <v>28</v>
      </c>
      <c r="M429" s="2">
        <f>Table1[[#This Row],[Revenue_INR]]-Table1[[#This Row],[Price_INR]]</f>
        <v>15778</v>
      </c>
      <c r="N429">
        <f>YEAR(Table1[[#This Row],[Date]])</f>
        <v>2024</v>
      </c>
      <c r="O429" s="2">
        <f t="shared" si="24"/>
        <v>2401</v>
      </c>
      <c r="P429" s="7">
        <f t="shared" si="25"/>
        <v>82.142857142857139</v>
      </c>
      <c r="Q429" s="2">
        <f t="shared" si="26"/>
        <v>8232</v>
      </c>
      <c r="R429" s="5" t="str">
        <f t="shared" si="27"/>
        <v>Below Average</v>
      </c>
      <c r="S429" s="5" t="str">
        <f>Table1[[#This Row],[Quarter]]&amp;" - "&amp;Table1[[#This Row],[City]]</f>
        <v>Q2 - Hyderabad</v>
      </c>
    </row>
    <row r="430" spans="1:19" x14ac:dyDescent="0.3">
      <c r="A430" t="s">
        <v>494</v>
      </c>
      <c r="B430" s="1">
        <v>45456</v>
      </c>
      <c r="C430" t="s">
        <v>447</v>
      </c>
      <c r="D430" t="s">
        <v>310</v>
      </c>
      <c r="E430" t="s">
        <v>34</v>
      </c>
      <c r="F430" t="s">
        <v>21</v>
      </c>
      <c r="G430" t="s">
        <v>94</v>
      </c>
      <c r="H430">
        <v>13</v>
      </c>
      <c r="I430">
        <v>2360</v>
      </c>
      <c r="J430">
        <v>25</v>
      </c>
      <c r="K430">
        <v>23010</v>
      </c>
      <c r="L430" t="s">
        <v>45</v>
      </c>
      <c r="M430" s="2">
        <f>Table1[[#This Row],[Revenue_INR]]-Table1[[#This Row],[Price_INR]]</f>
        <v>20650</v>
      </c>
      <c r="N430">
        <f>YEAR(Table1[[#This Row],[Date]])</f>
        <v>2024</v>
      </c>
      <c r="O430" s="2">
        <f t="shared" si="24"/>
        <v>1770</v>
      </c>
      <c r="P430" s="7">
        <f t="shared" si="25"/>
        <v>89.743589743589752</v>
      </c>
      <c r="Q430" s="2">
        <f t="shared" si="26"/>
        <v>7670</v>
      </c>
      <c r="R430" s="5" t="str">
        <f t="shared" si="27"/>
        <v>Below Average</v>
      </c>
      <c r="S430" s="5" t="str">
        <f>Table1[[#This Row],[Quarter]]&amp;" - "&amp;Table1[[#This Row],[City]]</f>
        <v>Q2 - Delhi</v>
      </c>
    </row>
    <row r="431" spans="1:19" x14ac:dyDescent="0.3">
      <c r="A431" t="s">
        <v>495</v>
      </c>
      <c r="B431" s="1">
        <v>45456</v>
      </c>
      <c r="C431" t="s">
        <v>447</v>
      </c>
      <c r="D431" t="s">
        <v>310</v>
      </c>
      <c r="E431" t="s">
        <v>34</v>
      </c>
      <c r="F431" t="s">
        <v>47</v>
      </c>
      <c r="G431" t="s">
        <v>102</v>
      </c>
      <c r="H431">
        <v>10</v>
      </c>
      <c r="I431">
        <v>4410</v>
      </c>
      <c r="J431">
        <v>20</v>
      </c>
      <c r="K431">
        <v>35280</v>
      </c>
      <c r="L431" t="s">
        <v>49</v>
      </c>
      <c r="M431" s="2">
        <f>Table1[[#This Row],[Revenue_INR]]-Table1[[#This Row],[Price_INR]]</f>
        <v>30870</v>
      </c>
      <c r="N431">
        <f>YEAR(Table1[[#This Row],[Date]])</f>
        <v>2024</v>
      </c>
      <c r="O431" s="2">
        <f t="shared" si="24"/>
        <v>3528</v>
      </c>
      <c r="P431" s="7">
        <f t="shared" si="25"/>
        <v>87.5</v>
      </c>
      <c r="Q431" s="2">
        <f t="shared" si="26"/>
        <v>8820</v>
      </c>
      <c r="R431" s="5" t="str">
        <f t="shared" si="27"/>
        <v>Above Average</v>
      </c>
      <c r="S431" s="5" t="str">
        <f>Table1[[#This Row],[Quarter]]&amp;" - "&amp;Table1[[#This Row],[City]]</f>
        <v>Q2 - Delhi</v>
      </c>
    </row>
    <row r="432" spans="1:19" x14ac:dyDescent="0.3">
      <c r="A432" t="s">
        <v>496</v>
      </c>
      <c r="B432" s="1">
        <v>45457</v>
      </c>
      <c r="C432" t="s">
        <v>447</v>
      </c>
      <c r="D432" t="s">
        <v>310</v>
      </c>
      <c r="E432" t="s">
        <v>34</v>
      </c>
      <c r="F432" t="s">
        <v>16</v>
      </c>
      <c r="G432" t="s">
        <v>41</v>
      </c>
      <c r="H432">
        <v>6</v>
      </c>
      <c r="I432">
        <v>1880</v>
      </c>
      <c r="J432">
        <v>10</v>
      </c>
      <c r="K432">
        <v>10152</v>
      </c>
      <c r="L432" t="s">
        <v>45</v>
      </c>
      <c r="M432" s="2">
        <f>Table1[[#This Row],[Revenue_INR]]-Table1[[#This Row],[Price_INR]]</f>
        <v>8272</v>
      </c>
      <c r="N432">
        <f>YEAR(Table1[[#This Row],[Date]])</f>
        <v>2024</v>
      </c>
      <c r="O432" s="2">
        <f t="shared" si="24"/>
        <v>1692</v>
      </c>
      <c r="P432" s="7">
        <f t="shared" si="25"/>
        <v>81.481481481481481</v>
      </c>
      <c r="Q432" s="2">
        <f t="shared" si="26"/>
        <v>1128</v>
      </c>
      <c r="R432" s="5" t="str">
        <f t="shared" si="27"/>
        <v>Below Average</v>
      </c>
      <c r="S432" s="5" t="str">
        <f>Table1[[#This Row],[Quarter]]&amp;" - "&amp;Table1[[#This Row],[City]]</f>
        <v>Q2 - Delhi</v>
      </c>
    </row>
    <row r="433" spans="1:19" x14ac:dyDescent="0.3">
      <c r="A433" t="s">
        <v>497</v>
      </c>
      <c r="B433" s="1">
        <v>45457</v>
      </c>
      <c r="C433" t="s">
        <v>447</v>
      </c>
      <c r="D433" t="s">
        <v>310</v>
      </c>
      <c r="E433" t="s">
        <v>34</v>
      </c>
      <c r="F433" t="s">
        <v>16</v>
      </c>
      <c r="G433" t="s">
        <v>44</v>
      </c>
      <c r="H433">
        <v>14</v>
      </c>
      <c r="I433">
        <v>2780</v>
      </c>
      <c r="J433">
        <v>30</v>
      </c>
      <c r="K433">
        <v>27244</v>
      </c>
      <c r="L433" t="s">
        <v>45</v>
      </c>
      <c r="M433" s="2">
        <f>Table1[[#This Row],[Revenue_INR]]-Table1[[#This Row],[Price_INR]]</f>
        <v>24464</v>
      </c>
      <c r="N433">
        <f>YEAR(Table1[[#This Row],[Date]])</f>
        <v>2024</v>
      </c>
      <c r="O433" s="2">
        <f t="shared" si="24"/>
        <v>1946</v>
      </c>
      <c r="P433" s="7">
        <f t="shared" si="25"/>
        <v>89.795918367346943</v>
      </c>
      <c r="Q433" s="2">
        <f t="shared" si="26"/>
        <v>11676</v>
      </c>
      <c r="R433" s="5" t="str">
        <f t="shared" si="27"/>
        <v>Above Average</v>
      </c>
      <c r="S433" s="5" t="str">
        <f>Table1[[#This Row],[Quarter]]&amp;" - "&amp;Table1[[#This Row],[City]]</f>
        <v>Q2 - Delhi</v>
      </c>
    </row>
    <row r="434" spans="1:19" x14ac:dyDescent="0.3">
      <c r="A434" t="s">
        <v>498</v>
      </c>
      <c r="B434" s="1">
        <v>45457</v>
      </c>
      <c r="C434" t="s">
        <v>447</v>
      </c>
      <c r="D434" t="s">
        <v>310</v>
      </c>
      <c r="E434" t="s">
        <v>25</v>
      </c>
      <c r="F434" t="s">
        <v>16</v>
      </c>
      <c r="G434" t="s">
        <v>44</v>
      </c>
      <c r="H434">
        <v>12</v>
      </c>
      <c r="I434">
        <v>1660</v>
      </c>
      <c r="J434">
        <v>25</v>
      </c>
      <c r="K434">
        <v>14940</v>
      </c>
      <c r="L434" t="s">
        <v>66</v>
      </c>
      <c r="M434" s="2">
        <f>Table1[[#This Row],[Revenue_INR]]-Table1[[#This Row],[Price_INR]]</f>
        <v>13280</v>
      </c>
      <c r="N434">
        <f>YEAR(Table1[[#This Row],[Date]])</f>
        <v>2024</v>
      </c>
      <c r="O434" s="2">
        <f t="shared" si="24"/>
        <v>1245</v>
      </c>
      <c r="P434" s="7">
        <f t="shared" si="25"/>
        <v>88.888888888888886</v>
      </c>
      <c r="Q434" s="2">
        <f t="shared" si="26"/>
        <v>4980</v>
      </c>
      <c r="R434" s="5" t="str">
        <f t="shared" si="27"/>
        <v>Below Average</v>
      </c>
      <c r="S434" s="5" t="str">
        <f>Table1[[#This Row],[Quarter]]&amp;" - "&amp;Table1[[#This Row],[City]]</f>
        <v>Q2 - Hyderabad</v>
      </c>
    </row>
    <row r="435" spans="1:19" x14ac:dyDescent="0.3">
      <c r="A435" t="s">
        <v>499</v>
      </c>
      <c r="B435" s="1">
        <v>45457</v>
      </c>
      <c r="C435" t="s">
        <v>447</v>
      </c>
      <c r="D435" t="s">
        <v>310</v>
      </c>
      <c r="E435" t="s">
        <v>15</v>
      </c>
      <c r="F435" t="s">
        <v>47</v>
      </c>
      <c r="G435" t="s">
        <v>55</v>
      </c>
      <c r="H435">
        <v>15</v>
      </c>
      <c r="I435">
        <v>6190</v>
      </c>
      <c r="J435">
        <v>15</v>
      </c>
      <c r="K435">
        <v>78922.5</v>
      </c>
      <c r="L435" t="s">
        <v>18</v>
      </c>
      <c r="M435" s="2">
        <f>Table1[[#This Row],[Revenue_INR]]-Table1[[#This Row],[Price_INR]]</f>
        <v>72732.5</v>
      </c>
      <c r="N435">
        <f>YEAR(Table1[[#This Row],[Date]])</f>
        <v>2024</v>
      </c>
      <c r="O435" s="2">
        <f t="shared" si="24"/>
        <v>5261.5</v>
      </c>
      <c r="P435" s="7">
        <f t="shared" si="25"/>
        <v>92.156862745098039</v>
      </c>
      <c r="Q435" s="2">
        <f t="shared" si="26"/>
        <v>13927.5</v>
      </c>
      <c r="R435" s="5" t="str">
        <f t="shared" si="27"/>
        <v>Above Average</v>
      </c>
      <c r="S435" s="5" t="str">
        <f>Table1[[#This Row],[Quarter]]&amp;" - "&amp;Table1[[#This Row],[City]]</f>
        <v>Q2 - Kolkata</v>
      </c>
    </row>
    <row r="436" spans="1:19" x14ac:dyDescent="0.3">
      <c r="A436" t="s">
        <v>500</v>
      </c>
      <c r="B436" s="1">
        <v>45457</v>
      </c>
      <c r="C436" t="s">
        <v>447</v>
      </c>
      <c r="D436" t="s">
        <v>310</v>
      </c>
      <c r="E436" t="s">
        <v>15</v>
      </c>
      <c r="F436" t="s">
        <v>47</v>
      </c>
      <c r="G436" t="s">
        <v>102</v>
      </c>
      <c r="H436">
        <v>10</v>
      </c>
      <c r="I436">
        <v>7780</v>
      </c>
      <c r="J436">
        <v>10</v>
      </c>
      <c r="K436">
        <v>70020</v>
      </c>
      <c r="L436" t="s">
        <v>92</v>
      </c>
      <c r="M436" s="2">
        <f>Table1[[#This Row],[Revenue_INR]]-Table1[[#This Row],[Price_INR]]</f>
        <v>62240</v>
      </c>
      <c r="N436">
        <f>YEAR(Table1[[#This Row],[Date]])</f>
        <v>2024</v>
      </c>
      <c r="O436" s="2">
        <f t="shared" si="24"/>
        <v>7002</v>
      </c>
      <c r="P436" s="7">
        <f t="shared" si="25"/>
        <v>88.888888888888886</v>
      </c>
      <c r="Q436" s="2">
        <f t="shared" si="26"/>
        <v>7780</v>
      </c>
      <c r="R436" s="5" t="str">
        <f t="shared" si="27"/>
        <v>Above Average</v>
      </c>
      <c r="S436" s="5" t="str">
        <f>Table1[[#This Row],[Quarter]]&amp;" - "&amp;Table1[[#This Row],[City]]</f>
        <v>Q2 - Kolkata</v>
      </c>
    </row>
    <row r="437" spans="1:19" x14ac:dyDescent="0.3">
      <c r="A437" t="s">
        <v>501</v>
      </c>
      <c r="B437" s="1">
        <v>45458</v>
      </c>
      <c r="C437" t="s">
        <v>447</v>
      </c>
      <c r="D437" t="s">
        <v>310</v>
      </c>
      <c r="E437" t="s">
        <v>34</v>
      </c>
      <c r="F437" t="s">
        <v>47</v>
      </c>
      <c r="G437" t="s">
        <v>51</v>
      </c>
      <c r="H437">
        <v>11</v>
      </c>
      <c r="I437">
        <v>6900</v>
      </c>
      <c r="J437">
        <v>10</v>
      </c>
      <c r="K437">
        <v>68310</v>
      </c>
      <c r="L437" t="s">
        <v>49</v>
      </c>
      <c r="M437" s="2">
        <f>Table1[[#This Row],[Revenue_INR]]-Table1[[#This Row],[Price_INR]]</f>
        <v>61410</v>
      </c>
      <c r="N437">
        <f>YEAR(Table1[[#This Row],[Date]])</f>
        <v>2024</v>
      </c>
      <c r="O437" s="2">
        <f t="shared" si="24"/>
        <v>6210</v>
      </c>
      <c r="P437" s="7">
        <f t="shared" si="25"/>
        <v>89.898989898989896</v>
      </c>
      <c r="Q437" s="2">
        <f t="shared" si="26"/>
        <v>7590</v>
      </c>
      <c r="R437" s="5" t="str">
        <f t="shared" si="27"/>
        <v>Above Average</v>
      </c>
      <c r="S437" s="5" t="str">
        <f>Table1[[#This Row],[Quarter]]&amp;" - "&amp;Table1[[#This Row],[City]]</f>
        <v>Q2 - Delhi</v>
      </c>
    </row>
    <row r="438" spans="1:19" x14ac:dyDescent="0.3">
      <c r="A438" t="s">
        <v>502</v>
      </c>
      <c r="B438" s="1">
        <v>45458</v>
      </c>
      <c r="C438" t="s">
        <v>447</v>
      </c>
      <c r="D438" t="s">
        <v>310</v>
      </c>
      <c r="E438" t="s">
        <v>20</v>
      </c>
      <c r="F438" t="s">
        <v>60</v>
      </c>
      <c r="G438" t="s">
        <v>85</v>
      </c>
      <c r="H438">
        <v>10</v>
      </c>
      <c r="I438">
        <v>1970</v>
      </c>
      <c r="J438">
        <v>20</v>
      </c>
      <c r="K438">
        <v>15760</v>
      </c>
      <c r="L438" t="s">
        <v>23</v>
      </c>
      <c r="M438" s="2">
        <f>Table1[[#This Row],[Revenue_INR]]-Table1[[#This Row],[Price_INR]]</f>
        <v>13790</v>
      </c>
      <c r="N438">
        <f>YEAR(Table1[[#This Row],[Date]])</f>
        <v>2024</v>
      </c>
      <c r="O438" s="2">
        <f t="shared" si="24"/>
        <v>1576</v>
      </c>
      <c r="P438" s="7">
        <f t="shared" si="25"/>
        <v>87.5</v>
      </c>
      <c r="Q438" s="2">
        <f t="shared" si="26"/>
        <v>3940</v>
      </c>
      <c r="R438" s="5" t="str">
        <f t="shared" si="27"/>
        <v>Below Average</v>
      </c>
      <c r="S438" s="5" t="str">
        <f>Table1[[#This Row],[Quarter]]&amp;" - "&amp;Table1[[#This Row],[City]]</f>
        <v>Q2 - Mumbai</v>
      </c>
    </row>
    <row r="439" spans="1:19" x14ac:dyDescent="0.3">
      <c r="A439" t="s">
        <v>503</v>
      </c>
      <c r="B439" s="1">
        <v>45458</v>
      </c>
      <c r="C439" t="s">
        <v>447</v>
      </c>
      <c r="D439" t="s">
        <v>310</v>
      </c>
      <c r="E439" t="s">
        <v>20</v>
      </c>
      <c r="F439" t="s">
        <v>16</v>
      </c>
      <c r="G439" t="s">
        <v>41</v>
      </c>
      <c r="H439">
        <v>10</v>
      </c>
      <c r="I439">
        <v>610</v>
      </c>
      <c r="J439">
        <v>15</v>
      </c>
      <c r="K439">
        <v>5185</v>
      </c>
      <c r="L439" t="s">
        <v>77</v>
      </c>
      <c r="M439" s="2">
        <f>Table1[[#This Row],[Revenue_INR]]-Table1[[#This Row],[Price_INR]]</f>
        <v>4575</v>
      </c>
      <c r="N439">
        <f>YEAR(Table1[[#This Row],[Date]])</f>
        <v>2024</v>
      </c>
      <c r="O439" s="2">
        <f t="shared" si="24"/>
        <v>518.5</v>
      </c>
      <c r="P439" s="7">
        <f t="shared" si="25"/>
        <v>88.235294117647058</v>
      </c>
      <c r="Q439" s="2">
        <f t="shared" si="26"/>
        <v>915</v>
      </c>
      <c r="R439" s="5" t="str">
        <f t="shared" si="27"/>
        <v>Below Average</v>
      </c>
      <c r="S439" s="5" t="str">
        <f>Table1[[#This Row],[Quarter]]&amp;" - "&amp;Table1[[#This Row],[City]]</f>
        <v>Q2 - Mumbai</v>
      </c>
    </row>
    <row r="440" spans="1:19" x14ac:dyDescent="0.3">
      <c r="A440" t="s">
        <v>504</v>
      </c>
      <c r="B440" s="1">
        <v>45459</v>
      </c>
      <c r="C440" t="s">
        <v>447</v>
      </c>
      <c r="D440" t="s">
        <v>310</v>
      </c>
      <c r="E440" t="s">
        <v>34</v>
      </c>
      <c r="F440" t="s">
        <v>60</v>
      </c>
      <c r="G440" t="s">
        <v>124</v>
      </c>
      <c r="H440">
        <v>4</v>
      </c>
      <c r="I440">
        <v>2000</v>
      </c>
      <c r="J440">
        <v>5</v>
      </c>
      <c r="K440">
        <v>7600</v>
      </c>
      <c r="L440" t="s">
        <v>49</v>
      </c>
      <c r="M440" s="2">
        <f>Table1[[#This Row],[Revenue_INR]]-Table1[[#This Row],[Price_INR]]</f>
        <v>5600</v>
      </c>
      <c r="N440">
        <f>YEAR(Table1[[#This Row],[Date]])</f>
        <v>2024</v>
      </c>
      <c r="O440" s="2">
        <f t="shared" si="24"/>
        <v>1900</v>
      </c>
      <c r="P440" s="7">
        <f t="shared" si="25"/>
        <v>73.68421052631578</v>
      </c>
      <c r="Q440" s="2">
        <f t="shared" si="26"/>
        <v>400</v>
      </c>
      <c r="R440" s="5" t="str">
        <f t="shared" si="27"/>
        <v>Below Average</v>
      </c>
      <c r="S440" s="5" t="str">
        <f>Table1[[#This Row],[Quarter]]&amp;" - "&amp;Table1[[#This Row],[City]]</f>
        <v>Q2 - Delhi</v>
      </c>
    </row>
    <row r="441" spans="1:19" x14ac:dyDescent="0.3">
      <c r="A441" t="s">
        <v>505</v>
      </c>
      <c r="B441" s="1">
        <v>45459</v>
      </c>
      <c r="C441" t="s">
        <v>447</v>
      </c>
      <c r="D441" t="s">
        <v>310</v>
      </c>
      <c r="E441" t="s">
        <v>20</v>
      </c>
      <c r="F441" t="s">
        <v>26</v>
      </c>
      <c r="G441" t="s">
        <v>27</v>
      </c>
      <c r="H441">
        <v>2</v>
      </c>
      <c r="I441">
        <v>9920</v>
      </c>
      <c r="J441">
        <v>10</v>
      </c>
      <c r="K441">
        <v>17856</v>
      </c>
      <c r="L441" t="s">
        <v>77</v>
      </c>
      <c r="M441" s="2">
        <f>Table1[[#This Row],[Revenue_INR]]-Table1[[#This Row],[Price_INR]]</f>
        <v>7936</v>
      </c>
      <c r="N441">
        <f>YEAR(Table1[[#This Row],[Date]])</f>
        <v>2024</v>
      </c>
      <c r="O441" s="2">
        <f t="shared" si="24"/>
        <v>8928</v>
      </c>
      <c r="P441" s="7">
        <f t="shared" si="25"/>
        <v>44.444444444444443</v>
      </c>
      <c r="Q441" s="2">
        <f t="shared" si="26"/>
        <v>1984</v>
      </c>
      <c r="R441" s="5" t="str">
        <f t="shared" si="27"/>
        <v>Below Average</v>
      </c>
      <c r="S441" s="5" t="str">
        <f>Table1[[#This Row],[Quarter]]&amp;" - "&amp;Table1[[#This Row],[City]]</f>
        <v>Q2 - Mumbai</v>
      </c>
    </row>
    <row r="442" spans="1:19" x14ac:dyDescent="0.3">
      <c r="A442" t="s">
        <v>506</v>
      </c>
      <c r="B442" s="1">
        <v>45459</v>
      </c>
      <c r="C442" t="s">
        <v>447</v>
      </c>
      <c r="D442" t="s">
        <v>310</v>
      </c>
      <c r="E442" t="s">
        <v>34</v>
      </c>
      <c r="F442" t="s">
        <v>60</v>
      </c>
      <c r="G442" t="s">
        <v>85</v>
      </c>
      <c r="H442">
        <v>10</v>
      </c>
      <c r="I442">
        <v>1490</v>
      </c>
      <c r="J442">
        <v>20</v>
      </c>
      <c r="K442">
        <v>11920</v>
      </c>
      <c r="L442" t="s">
        <v>36</v>
      </c>
      <c r="M442" s="2">
        <f>Table1[[#This Row],[Revenue_INR]]-Table1[[#This Row],[Price_INR]]</f>
        <v>10430</v>
      </c>
      <c r="N442">
        <f>YEAR(Table1[[#This Row],[Date]])</f>
        <v>2024</v>
      </c>
      <c r="O442" s="2">
        <f t="shared" si="24"/>
        <v>1192</v>
      </c>
      <c r="P442" s="7">
        <f t="shared" si="25"/>
        <v>87.5</v>
      </c>
      <c r="Q442" s="2">
        <f t="shared" si="26"/>
        <v>2980</v>
      </c>
      <c r="R442" s="5" t="str">
        <f t="shared" si="27"/>
        <v>Below Average</v>
      </c>
      <c r="S442" s="5" t="str">
        <f>Table1[[#This Row],[Quarter]]&amp;" - "&amp;Table1[[#This Row],[City]]</f>
        <v>Q2 - Delhi</v>
      </c>
    </row>
    <row r="443" spans="1:19" x14ac:dyDescent="0.3">
      <c r="A443" t="s">
        <v>507</v>
      </c>
      <c r="B443" s="1">
        <v>45459</v>
      </c>
      <c r="C443" t="s">
        <v>447</v>
      </c>
      <c r="D443" t="s">
        <v>310</v>
      </c>
      <c r="E443" t="s">
        <v>34</v>
      </c>
      <c r="F443" t="s">
        <v>47</v>
      </c>
      <c r="G443" t="s">
        <v>102</v>
      </c>
      <c r="H443">
        <v>14</v>
      </c>
      <c r="I443">
        <v>3740</v>
      </c>
      <c r="J443">
        <v>5</v>
      </c>
      <c r="K443">
        <v>49742</v>
      </c>
      <c r="L443" t="s">
        <v>36</v>
      </c>
      <c r="M443" s="2">
        <f>Table1[[#This Row],[Revenue_INR]]-Table1[[#This Row],[Price_INR]]</f>
        <v>46002</v>
      </c>
      <c r="N443">
        <f>YEAR(Table1[[#This Row],[Date]])</f>
        <v>2024</v>
      </c>
      <c r="O443" s="2">
        <f t="shared" si="24"/>
        <v>3553</v>
      </c>
      <c r="P443" s="7">
        <f t="shared" si="25"/>
        <v>92.481203007518801</v>
      </c>
      <c r="Q443" s="2">
        <f t="shared" si="26"/>
        <v>2618</v>
      </c>
      <c r="R443" s="5" t="str">
        <f t="shared" si="27"/>
        <v>Above Average</v>
      </c>
      <c r="S443" s="5" t="str">
        <f>Table1[[#This Row],[Quarter]]&amp;" - "&amp;Table1[[#This Row],[City]]</f>
        <v>Q2 - Delhi</v>
      </c>
    </row>
    <row r="444" spans="1:19" x14ac:dyDescent="0.3">
      <c r="A444" t="s">
        <v>508</v>
      </c>
      <c r="B444" s="1">
        <v>45459</v>
      </c>
      <c r="C444" t="s">
        <v>447</v>
      </c>
      <c r="D444" t="s">
        <v>310</v>
      </c>
      <c r="E444" t="s">
        <v>20</v>
      </c>
      <c r="F444" t="s">
        <v>60</v>
      </c>
      <c r="G444" t="s">
        <v>85</v>
      </c>
      <c r="H444">
        <v>3</v>
      </c>
      <c r="I444">
        <v>1690</v>
      </c>
      <c r="J444">
        <v>5</v>
      </c>
      <c r="K444">
        <v>4816.5</v>
      </c>
      <c r="L444" t="s">
        <v>77</v>
      </c>
      <c r="M444" s="2">
        <f>Table1[[#This Row],[Revenue_INR]]-Table1[[#This Row],[Price_INR]]</f>
        <v>3126.5</v>
      </c>
      <c r="N444">
        <f>YEAR(Table1[[#This Row],[Date]])</f>
        <v>2024</v>
      </c>
      <c r="O444" s="2">
        <f t="shared" si="24"/>
        <v>1605.5</v>
      </c>
      <c r="P444" s="7">
        <f t="shared" si="25"/>
        <v>64.912280701754383</v>
      </c>
      <c r="Q444" s="2">
        <f t="shared" si="26"/>
        <v>253.5</v>
      </c>
      <c r="R444" s="5" t="str">
        <f t="shared" si="27"/>
        <v>Below Average</v>
      </c>
      <c r="S444" s="5" t="str">
        <f>Table1[[#This Row],[Quarter]]&amp;" - "&amp;Table1[[#This Row],[City]]</f>
        <v>Q2 - Mumbai</v>
      </c>
    </row>
    <row r="445" spans="1:19" x14ac:dyDescent="0.3">
      <c r="A445" t="s">
        <v>509</v>
      </c>
      <c r="B445" s="1">
        <v>45459</v>
      </c>
      <c r="C445" t="s">
        <v>447</v>
      </c>
      <c r="D445" t="s">
        <v>310</v>
      </c>
      <c r="E445" t="s">
        <v>20</v>
      </c>
      <c r="F445" t="s">
        <v>16</v>
      </c>
      <c r="G445" t="s">
        <v>17</v>
      </c>
      <c r="H445">
        <v>11</v>
      </c>
      <c r="I445">
        <v>1670</v>
      </c>
      <c r="J445">
        <v>15</v>
      </c>
      <c r="K445">
        <v>15614.5</v>
      </c>
      <c r="L445" t="s">
        <v>23</v>
      </c>
      <c r="M445" s="2">
        <f>Table1[[#This Row],[Revenue_INR]]-Table1[[#This Row],[Price_INR]]</f>
        <v>13944.5</v>
      </c>
      <c r="N445">
        <f>YEAR(Table1[[#This Row],[Date]])</f>
        <v>2024</v>
      </c>
      <c r="O445" s="2">
        <f t="shared" si="24"/>
        <v>1419.5</v>
      </c>
      <c r="P445" s="7">
        <f t="shared" si="25"/>
        <v>89.304812834224606</v>
      </c>
      <c r="Q445" s="2">
        <f t="shared" si="26"/>
        <v>2755.5</v>
      </c>
      <c r="R445" s="5" t="str">
        <f t="shared" si="27"/>
        <v>Below Average</v>
      </c>
      <c r="S445" s="5" t="str">
        <f>Table1[[#This Row],[Quarter]]&amp;" - "&amp;Table1[[#This Row],[City]]</f>
        <v>Q2 - Mumbai</v>
      </c>
    </row>
    <row r="446" spans="1:19" x14ac:dyDescent="0.3">
      <c r="A446" t="s">
        <v>510</v>
      </c>
      <c r="B446" s="1">
        <v>45461</v>
      </c>
      <c r="C446" t="s">
        <v>447</v>
      </c>
      <c r="D446" t="s">
        <v>310</v>
      </c>
      <c r="E446" t="s">
        <v>25</v>
      </c>
      <c r="F446" t="s">
        <v>16</v>
      </c>
      <c r="G446" t="s">
        <v>44</v>
      </c>
      <c r="H446">
        <v>9</v>
      </c>
      <c r="I446">
        <v>1690</v>
      </c>
      <c r="J446">
        <v>5</v>
      </c>
      <c r="K446">
        <v>14449.5</v>
      </c>
      <c r="L446" t="s">
        <v>66</v>
      </c>
      <c r="M446" s="2">
        <f>Table1[[#This Row],[Revenue_INR]]-Table1[[#This Row],[Price_INR]]</f>
        <v>12759.5</v>
      </c>
      <c r="N446">
        <f>YEAR(Table1[[#This Row],[Date]])</f>
        <v>2024</v>
      </c>
      <c r="O446" s="2">
        <f t="shared" si="24"/>
        <v>1605.5</v>
      </c>
      <c r="P446" s="7">
        <f t="shared" si="25"/>
        <v>88.304093567251456</v>
      </c>
      <c r="Q446" s="2">
        <f t="shared" si="26"/>
        <v>760.5</v>
      </c>
      <c r="R446" s="5" t="str">
        <f t="shared" si="27"/>
        <v>Below Average</v>
      </c>
      <c r="S446" s="5" t="str">
        <f>Table1[[#This Row],[Quarter]]&amp;" - "&amp;Table1[[#This Row],[City]]</f>
        <v>Q2 - Hyderabad</v>
      </c>
    </row>
    <row r="447" spans="1:19" x14ac:dyDescent="0.3">
      <c r="A447" t="s">
        <v>511</v>
      </c>
      <c r="B447" s="1">
        <v>45461</v>
      </c>
      <c r="C447" t="s">
        <v>447</v>
      </c>
      <c r="D447" t="s">
        <v>310</v>
      </c>
      <c r="E447" t="s">
        <v>15</v>
      </c>
      <c r="F447" t="s">
        <v>26</v>
      </c>
      <c r="G447" t="s">
        <v>27</v>
      </c>
      <c r="H447">
        <v>12</v>
      </c>
      <c r="I447">
        <v>6390</v>
      </c>
      <c r="J447">
        <v>20</v>
      </c>
      <c r="K447">
        <v>61344</v>
      </c>
      <c r="L447" t="s">
        <v>53</v>
      </c>
      <c r="M447" s="2">
        <f>Table1[[#This Row],[Revenue_INR]]-Table1[[#This Row],[Price_INR]]</f>
        <v>54954</v>
      </c>
      <c r="N447">
        <f>YEAR(Table1[[#This Row],[Date]])</f>
        <v>2024</v>
      </c>
      <c r="O447" s="2">
        <f t="shared" si="24"/>
        <v>5112</v>
      </c>
      <c r="P447" s="7">
        <f t="shared" si="25"/>
        <v>89.583333333333343</v>
      </c>
      <c r="Q447" s="2">
        <f t="shared" si="26"/>
        <v>15336</v>
      </c>
      <c r="R447" s="5" t="str">
        <f t="shared" si="27"/>
        <v>Above Average</v>
      </c>
      <c r="S447" s="5" t="str">
        <f>Table1[[#This Row],[Quarter]]&amp;" - "&amp;Table1[[#This Row],[City]]</f>
        <v>Q2 - Kolkata</v>
      </c>
    </row>
    <row r="448" spans="1:19" x14ac:dyDescent="0.3">
      <c r="A448" t="s">
        <v>512</v>
      </c>
      <c r="B448" s="1">
        <v>45461</v>
      </c>
      <c r="C448" t="s">
        <v>447</v>
      </c>
      <c r="D448" t="s">
        <v>310</v>
      </c>
      <c r="E448" t="s">
        <v>15</v>
      </c>
      <c r="F448" t="s">
        <v>21</v>
      </c>
      <c r="G448" t="s">
        <v>75</v>
      </c>
      <c r="H448">
        <v>6</v>
      </c>
      <c r="I448">
        <v>2830</v>
      </c>
      <c r="J448">
        <v>5</v>
      </c>
      <c r="K448">
        <v>16131</v>
      </c>
      <c r="L448" t="s">
        <v>53</v>
      </c>
      <c r="M448" s="2">
        <f>Table1[[#This Row],[Revenue_INR]]-Table1[[#This Row],[Price_INR]]</f>
        <v>13301</v>
      </c>
      <c r="N448">
        <f>YEAR(Table1[[#This Row],[Date]])</f>
        <v>2024</v>
      </c>
      <c r="O448" s="2">
        <f t="shared" si="24"/>
        <v>2688.5</v>
      </c>
      <c r="P448" s="7">
        <f t="shared" si="25"/>
        <v>82.456140350877192</v>
      </c>
      <c r="Q448" s="2">
        <f t="shared" si="26"/>
        <v>849</v>
      </c>
      <c r="R448" s="5" t="str">
        <f t="shared" si="27"/>
        <v>Below Average</v>
      </c>
      <c r="S448" s="5" t="str">
        <f>Table1[[#This Row],[Quarter]]&amp;" - "&amp;Table1[[#This Row],[City]]</f>
        <v>Q2 - Kolkata</v>
      </c>
    </row>
    <row r="449" spans="1:19" x14ac:dyDescent="0.3">
      <c r="A449" t="s">
        <v>513</v>
      </c>
      <c r="B449" s="1">
        <v>45461</v>
      </c>
      <c r="C449" t="s">
        <v>447</v>
      </c>
      <c r="D449" t="s">
        <v>310</v>
      </c>
      <c r="E449" t="s">
        <v>34</v>
      </c>
      <c r="F449" t="s">
        <v>16</v>
      </c>
      <c r="G449" t="s">
        <v>41</v>
      </c>
      <c r="H449">
        <v>14</v>
      </c>
      <c r="I449">
        <v>2130</v>
      </c>
      <c r="J449">
        <v>20</v>
      </c>
      <c r="K449">
        <v>23856</v>
      </c>
      <c r="L449" t="s">
        <v>45</v>
      </c>
      <c r="M449" s="2">
        <f>Table1[[#This Row],[Revenue_INR]]-Table1[[#This Row],[Price_INR]]</f>
        <v>21726</v>
      </c>
      <c r="N449">
        <f>YEAR(Table1[[#This Row],[Date]])</f>
        <v>2024</v>
      </c>
      <c r="O449" s="2">
        <f t="shared" si="24"/>
        <v>1704</v>
      </c>
      <c r="P449" s="7">
        <f t="shared" si="25"/>
        <v>91.071428571428569</v>
      </c>
      <c r="Q449" s="2">
        <f t="shared" si="26"/>
        <v>5964</v>
      </c>
      <c r="R449" s="5" t="str">
        <f t="shared" si="27"/>
        <v>Below Average</v>
      </c>
      <c r="S449" s="5" t="str">
        <f>Table1[[#This Row],[Quarter]]&amp;" - "&amp;Table1[[#This Row],[City]]</f>
        <v>Q2 - Delhi</v>
      </c>
    </row>
    <row r="450" spans="1:19" x14ac:dyDescent="0.3">
      <c r="A450" t="s">
        <v>514</v>
      </c>
      <c r="B450" s="1">
        <v>45461</v>
      </c>
      <c r="C450" t="s">
        <v>447</v>
      </c>
      <c r="D450" t="s">
        <v>310</v>
      </c>
      <c r="E450" t="s">
        <v>15</v>
      </c>
      <c r="F450" t="s">
        <v>21</v>
      </c>
      <c r="G450" t="s">
        <v>75</v>
      </c>
      <c r="H450">
        <v>14</v>
      </c>
      <c r="I450">
        <v>3240</v>
      </c>
      <c r="J450">
        <v>30</v>
      </c>
      <c r="K450">
        <v>31752</v>
      </c>
      <c r="L450" t="s">
        <v>92</v>
      </c>
      <c r="M450" s="2">
        <f>Table1[[#This Row],[Revenue_INR]]-Table1[[#This Row],[Price_INR]]</f>
        <v>28512</v>
      </c>
      <c r="N450">
        <f>YEAR(Table1[[#This Row],[Date]])</f>
        <v>2024</v>
      </c>
      <c r="O450" s="2">
        <f t="shared" ref="O450:O513" si="28">K450/H450</f>
        <v>2268</v>
      </c>
      <c r="P450" s="7">
        <f t="shared" ref="P450:P513" si="29">M450/K450*100</f>
        <v>89.795918367346943</v>
      </c>
      <c r="Q450" s="2">
        <f t="shared" ref="Q450:Q513" si="30">I450*H450*J450/100</f>
        <v>13608</v>
      </c>
      <c r="R450" s="5" t="str">
        <f t="shared" ref="R450:R513" si="31">IF(K450&gt;AVERAGE($K$2:$K$1001),"Above Average","Below Average")</f>
        <v>Above Average</v>
      </c>
      <c r="S450" s="5" t="str">
        <f>Table1[[#This Row],[Quarter]]&amp;" - "&amp;Table1[[#This Row],[City]]</f>
        <v>Q2 - Kolkata</v>
      </c>
    </row>
    <row r="451" spans="1:19" x14ac:dyDescent="0.3">
      <c r="A451" t="s">
        <v>515</v>
      </c>
      <c r="B451" s="1">
        <v>45461</v>
      </c>
      <c r="C451" t="s">
        <v>447</v>
      </c>
      <c r="D451" t="s">
        <v>310</v>
      </c>
      <c r="E451" t="s">
        <v>15</v>
      </c>
      <c r="F451" t="s">
        <v>21</v>
      </c>
      <c r="G451" t="s">
        <v>71</v>
      </c>
      <c r="H451">
        <v>13</v>
      </c>
      <c r="I451">
        <v>1540</v>
      </c>
      <c r="J451">
        <v>0</v>
      </c>
      <c r="K451">
        <v>20020</v>
      </c>
      <c r="L451" t="s">
        <v>92</v>
      </c>
      <c r="M451" s="2">
        <f>Table1[[#This Row],[Revenue_INR]]-Table1[[#This Row],[Price_INR]]</f>
        <v>18480</v>
      </c>
      <c r="N451">
        <f>YEAR(Table1[[#This Row],[Date]])</f>
        <v>2024</v>
      </c>
      <c r="O451" s="2">
        <f t="shared" si="28"/>
        <v>1540</v>
      </c>
      <c r="P451" s="7">
        <f t="shared" si="29"/>
        <v>92.307692307692307</v>
      </c>
      <c r="Q451" s="2">
        <f t="shared" si="30"/>
        <v>0</v>
      </c>
      <c r="R451" s="5" t="str">
        <f t="shared" si="31"/>
        <v>Below Average</v>
      </c>
      <c r="S451" s="5" t="str">
        <f>Table1[[#This Row],[Quarter]]&amp;" - "&amp;Table1[[#This Row],[City]]</f>
        <v>Q2 - Kolkata</v>
      </c>
    </row>
    <row r="452" spans="1:19" x14ac:dyDescent="0.3">
      <c r="A452" t="s">
        <v>516</v>
      </c>
      <c r="B452" s="1">
        <v>45461</v>
      </c>
      <c r="C452" t="s">
        <v>447</v>
      </c>
      <c r="D452" t="s">
        <v>310</v>
      </c>
      <c r="E452" t="s">
        <v>15</v>
      </c>
      <c r="F452" t="s">
        <v>60</v>
      </c>
      <c r="G452" t="s">
        <v>99</v>
      </c>
      <c r="H452">
        <v>4</v>
      </c>
      <c r="I452">
        <v>1020</v>
      </c>
      <c r="J452">
        <v>25</v>
      </c>
      <c r="K452">
        <v>3060</v>
      </c>
      <c r="L452" t="s">
        <v>53</v>
      </c>
      <c r="M452" s="2">
        <f>Table1[[#This Row],[Revenue_INR]]-Table1[[#This Row],[Price_INR]]</f>
        <v>2040</v>
      </c>
      <c r="N452">
        <f>YEAR(Table1[[#This Row],[Date]])</f>
        <v>2024</v>
      </c>
      <c r="O452" s="2">
        <f t="shared" si="28"/>
        <v>765</v>
      </c>
      <c r="P452" s="7">
        <f t="shared" si="29"/>
        <v>66.666666666666657</v>
      </c>
      <c r="Q452" s="2">
        <f t="shared" si="30"/>
        <v>1020</v>
      </c>
      <c r="R452" s="5" t="str">
        <f t="shared" si="31"/>
        <v>Below Average</v>
      </c>
      <c r="S452" s="5" t="str">
        <f>Table1[[#This Row],[Quarter]]&amp;" - "&amp;Table1[[#This Row],[City]]</f>
        <v>Q2 - Kolkata</v>
      </c>
    </row>
    <row r="453" spans="1:19" x14ac:dyDescent="0.3">
      <c r="A453" t="s">
        <v>517</v>
      </c>
      <c r="B453" s="1">
        <v>45463</v>
      </c>
      <c r="C453" t="s">
        <v>447</v>
      </c>
      <c r="D453" t="s">
        <v>310</v>
      </c>
      <c r="E453" t="s">
        <v>25</v>
      </c>
      <c r="F453" t="s">
        <v>16</v>
      </c>
      <c r="G453" t="s">
        <v>69</v>
      </c>
      <c r="H453">
        <v>11</v>
      </c>
      <c r="I453">
        <v>2520</v>
      </c>
      <c r="J453">
        <v>25</v>
      </c>
      <c r="K453">
        <v>20790</v>
      </c>
      <c r="L453" t="s">
        <v>28</v>
      </c>
      <c r="M453" s="2">
        <f>Table1[[#This Row],[Revenue_INR]]-Table1[[#This Row],[Price_INR]]</f>
        <v>18270</v>
      </c>
      <c r="N453">
        <f>YEAR(Table1[[#This Row],[Date]])</f>
        <v>2024</v>
      </c>
      <c r="O453" s="2">
        <f t="shared" si="28"/>
        <v>1890</v>
      </c>
      <c r="P453" s="7">
        <f t="shared" si="29"/>
        <v>87.878787878787875</v>
      </c>
      <c r="Q453" s="2">
        <f t="shared" si="30"/>
        <v>6930</v>
      </c>
      <c r="R453" s="5" t="str">
        <f t="shared" si="31"/>
        <v>Below Average</v>
      </c>
      <c r="S453" s="5" t="str">
        <f>Table1[[#This Row],[Quarter]]&amp;" - "&amp;Table1[[#This Row],[City]]</f>
        <v>Q2 - Hyderabad</v>
      </c>
    </row>
    <row r="454" spans="1:19" x14ac:dyDescent="0.3">
      <c r="A454" t="s">
        <v>518</v>
      </c>
      <c r="B454" s="1">
        <v>45463</v>
      </c>
      <c r="C454" t="s">
        <v>447</v>
      </c>
      <c r="D454" t="s">
        <v>310</v>
      </c>
      <c r="E454" t="s">
        <v>34</v>
      </c>
      <c r="F454" t="s">
        <v>47</v>
      </c>
      <c r="G454" t="s">
        <v>55</v>
      </c>
      <c r="H454">
        <v>4</v>
      </c>
      <c r="I454">
        <v>6990</v>
      </c>
      <c r="J454">
        <v>10</v>
      </c>
      <c r="K454">
        <v>25164</v>
      </c>
      <c r="L454" t="s">
        <v>49</v>
      </c>
      <c r="M454" s="2">
        <f>Table1[[#This Row],[Revenue_INR]]-Table1[[#This Row],[Price_INR]]</f>
        <v>18174</v>
      </c>
      <c r="N454">
        <f>YEAR(Table1[[#This Row],[Date]])</f>
        <v>2024</v>
      </c>
      <c r="O454" s="2">
        <f t="shared" si="28"/>
        <v>6291</v>
      </c>
      <c r="P454" s="7">
        <f t="shared" si="29"/>
        <v>72.222222222222214</v>
      </c>
      <c r="Q454" s="2">
        <f t="shared" si="30"/>
        <v>2796</v>
      </c>
      <c r="R454" s="5" t="str">
        <f t="shared" si="31"/>
        <v>Above Average</v>
      </c>
      <c r="S454" s="5" t="str">
        <f>Table1[[#This Row],[Quarter]]&amp;" - "&amp;Table1[[#This Row],[City]]</f>
        <v>Q2 - Delhi</v>
      </c>
    </row>
    <row r="455" spans="1:19" x14ac:dyDescent="0.3">
      <c r="A455" t="s">
        <v>519</v>
      </c>
      <c r="B455" s="1">
        <v>45463</v>
      </c>
      <c r="C455" t="s">
        <v>447</v>
      </c>
      <c r="D455" t="s">
        <v>310</v>
      </c>
      <c r="E455" t="s">
        <v>20</v>
      </c>
      <c r="F455" t="s">
        <v>21</v>
      </c>
      <c r="G455" t="s">
        <v>22</v>
      </c>
      <c r="H455">
        <v>14</v>
      </c>
      <c r="I455">
        <v>1620</v>
      </c>
      <c r="J455">
        <v>20</v>
      </c>
      <c r="K455">
        <v>18144</v>
      </c>
      <c r="L455" t="s">
        <v>39</v>
      </c>
      <c r="M455" s="2">
        <f>Table1[[#This Row],[Revenue_INR]]-Table1[[#This Row],[Price_INR]]</f>
        <v>16524</v>
      </c>
      <c r="N455">
        <f>YEAR(Table1[[#This Row],[Date]])</f>
        <v>2024</v>
      </c>
      <c r="O455" s="2">
        <f t="shared" si="28"/>
        <v>1296</v>
      </c>
      <c r="P455" s="7">
        <f t="shared" si="29"/>
        <v>91.071428571428569</v>
      </c>
      <c r="Q455" s="2">
        <f t="shared" si="30"/>
        <v>4536</v>
      </c>
      <c r="R455" s="5" t="str">
        <f t="shared" si="31"/>
        <v>Below Average</v>
      </c>
      <c r="S455" s="5" t="str">
        <f>Table1[[#This Row],[Quarter]]&amp;" - "&amp;Table1[[#This Row],[City]]</f>
        <v>Q2 - Mumbai</v>
      </c>
    </row>
    <row r="456" spans="1:19" x14ac:dyDescent="0.3">
      <c r="A456" t="s">
        <v>520</v>
      </c>
      <c r="B456" s="1">
        <v>45464</v>
      </c>
      <c r="C456" t="s">
        <v>447</v>
      </c>
      <c r="D456" t="s">
        <v>310</v>
      </c>
      <c r="E456" t="s">
        <v>15</v>
      </c>
      <c r="F456" t="s">
        <v>21</v>
      </c>
      <c r="G456" t="s">
        <v>71</v>
      </c>
      <c r="H456">
        <v>14</v>
      </c>
      <c r="I456">
        <v>1520</v>
      </c>
      <c r="J456">
        <v>10</v>
      </c>
      <c r="K456">
        <v>19152</v>
      </c>
      <c r="L456" t="s">
        <v>18</v>
      </c>
      <c r="M456" s="2">
        <f>Table1[[#This Row],[Revenue_INR]]-Table1[[#This Row],[Price_INR]]</f>
        <v>17632</v>
      </c>
      <c r="N456">
        <f>YEAR(Table1[[#This Row],[Date]])</f>
        <v>2024</v>
      </c>
      <c r="O456" s="2">
        <f t="shared" si="28"/>
        <v>1368</v>
      </c>
      <c r="P456" s="7">
        <f t="shared" si="29"/>
        <v>92.063492063492063</v>
      </c>
      <c r="Q456" s="2">
        <f t="shared" si="30"/>
        <v>2128</v>
      </c>
      <c r="R456" s="5" t="str">
        <f t="shared" si="31"/>
        <v>Below Average</v>
      </c>
      <c r="S456" s="5" t="str">
        <f>Table1[[#This Row],[Quarter]]&amp;" - "&amp;Table1[[#This Row],[City]]</f>
        <v>Q2 - Kolkata</v>
      </c>
    </row>
    <row r="457" spans="1:19" x14ac:dyDescent="0.3">
      <c r="A457" t="s">
        <v>521</v>
      </c>
      <c r="B457" s="1">
        <v>45464</v>
      </c>
      <c r="C457" t="s">
        <v>447</v>
      </c>
      <c r="D457" t="s">
        <v>310</v>
      </c>
      <c r="E457" t="s">
        <v>15</v>
      </c>
      <c r="F457" t="s">
        <v>16</v>
      </c>
      <c r="G457" t="s">
        <v>17</v>
      </c>
      <c r="H457">
        <v>1</v>
      </c>
      <c r="I457">
        <v>2240</v>
      </c>
      <c r="J457">
        <v>25</v>
      </c>
      <c r="K457">
        <v>1680</v>
      </c>
      <c r="L457" t="s">
        <v>53</v>
      </c>
      <c r="M457" s="2">
        <f>Table1[[#This Row],[Revenue_INR]]-Table1[[#This Row],[Price_INR]]</f>
        <v>-560</v>
      </c>
      <c r="N457">
        <f>YEAR(Table1[[#This Row],[Date]])</f>
        <v>2024</v>
      </c>
      <c r="O457" s="2">
        <f t="shared" si="28"/>
        <v>1680</v>
      </c>
      <c r="P457" s="7">
        <f t="shared" si="29"/>
        <v>-33.333333333333329</v>
      </c>
      <c r="Q457" s="2">
        <f t="shared" si="30"/>
        <v>560</v>
      </c>
      <c r="R457" s="5" t="str">
        <f t="shared" si="31"/>
        <v>Below Average</v>
      </c>
      <c r="S457" s="5" t="str">
        <f>Table1[[#This Row],[Quarter]]&amp;" - "&amp;Table1[[#This Row],[City]]</f>
        <v>Q2 - Kolkata</v>
      </c>
    </row>
    <row r="458" spans="1:19" x14ac:dyDescent="0.3">
      <c r="A458" t="s">
        <v>522</v>
      </c>
      <c r="B458" s="1">
        <v>45464</v>
      </c>
      <c r="C458" t="s">
        <v>447</v>
      </c>
      <c r="D458" t="s">
        <v>310</v>
      </c>
      <c r="E458" t="s">
        <v>20</v>
      </c>
      <c r="F458" t="s">
        <v>31</v>
      </c>
      <c r="G458" t="s">
        <v>35</v>
      </c>
      <c r="H458">
        <v>8</v>
      </c>
      <c r="I458">
        <v>2640</v>
      </c>
      <c r="J458">
        <v>10</v>
      </c>
      <c r="K458">
        <v>19008</v>
      </c>
      <c r="L458" t="s">
        <v>23</v>
      </c>
      <c r="M458" s="2">
        <f>Table1[[#This Row],[Revenue_INR]]-Table1[[#This Row],[Price_INR]]</f>
        <v>16368</v>
      </c>
      <c r="N458">
        <f>YEAR(Table1[[#This Row],[Date]])</f>
        <v>2024</v>
      </c>
      <c r="O458" s="2">
        <f t="shared" si="28"/>
        <v>2376</v>
      </c>
      <c r="P458" s="7">
        <f t="shared" si="29"/>
        <v>86.111111111111114</v>
      </c>
      <c r="Q458" s="2">
        <f t="shared" si="30"/>
        <v>2112</v>
      </c>
      <c r="R458" s="5" t="str">
        <f t="shared" si="31"/>
        <v>Below Average</v>
      </c>
      <c r="S458" s="5" t="str">
        <f>Table1[[#This Row],[Quarter]]&amp;" - "&amp;Table1[[#This Row],[City]]</f>
        <v>Q2 - Mumbai</v>
      </c>
    </row>
    <row r="459" spans="1:19" x14ac:dyDescent="0.3">
      <c r="A459" t="s">
        <v>523</v>
      </c>
      <c r="B459" s="1">
        <v>45464</v>
      </c>
      <c r="C459" t="s">
        <v>447</v>
      </c>
      <c r="D459" t="s">
        <v>310</v>
      </c>
      <c r="E459" t="s">
        <v>15</v>
      </c>
      <c r="F459" t="s">
        <v>26</v>
      </c>
      <c r="G459" t="s">
        <v>82</v>
      </c>
      <c r="H459">
        <v>4</v>
      </c>
      <c r="I459">
        <v>2220</v>
      </c>
      <c r="J459">
        <v>15</v>
      </c>
      <c r="K459">
        <v>7548</v>
      </c>
      <c r="L459" t="s">
        <v>18</v>
      </c>
      <c r="M459" s="2">
        <f>Table1[[#This Row],[Revenue_INR]]-Table1[[#This Row],[Price_INR]]</f>
        <v>5328</v>
      </c>
      <c r="N459">
        <f>YEAR(Table1[[#This Row],[Date]])</f>
        <v>2024</v>
      </c>
      <c r="O459" s="2">
        <f t="shared" si="28"/>
        <v>1887</v>
      </c>
      <c r="P459" s="7">
        <f t="shared" si="29"/>
        <v>70.588235294117652</v>
      </c>
      <c r="Q459" s="2">
        <f t="shared" si="30"/>
        <v>1332</v>
      </c>
      <c r="R459" s="5" t="str">
        <f t="shared" si="31"/>
        <v>Below Average</v>
      </c>
      <c r="S459" s="5" t="str">
        <f>Table1[[#This Row],[Quarter]]&amp;" - "&amp;Table1[[#This Row],[City]]</f>
        <v>Q2 - Kolkata</v>
      </c>
    </row>
    <row r="460" spans="1:19" x14ac:dyDescent="0.3">
      <c r="A460" t="s">
        <v>524</v>
      </c>
      <c r="B460" s="1">
        <v>45465</v>
      </c>
      <c r="C460" t="s">
        <v>447</v>
      </c>
      <c r="D460" t="s">
        <v>310</v>
      </c>
      <c r="E460" t="s">
        <v>15</v>
      </c>
      <c r="F460" t="s">
        <v>26</v>
      </c>
      <c r="G460" t="s">
        <v>58</v>
      </c>
      <c r="H460">
        <v>4</v>
      </c>
      <c r="I460">
        <v>2890</v>
      </c>
      <c r="J460">
        <v>0</v>
      </c>
      <c r="K460">
        <v>11560</v>
      </c>
      <c r="L460" t="s">
        <v>92</v>
      </c>
      <c r="M460" s="2">
        <f>Table1[[#This Row],[Revenue_INR]]-Table1[[#This Row],[Price_INR]]</f>
        <v>8670</v>
      </c>
      <c r="N460">
        <f>YEAR(Table1[[#This Row],[Date]])</f>
        <v>2024</v>
      </c>
      <c r="O460" s="2">
        <f t="shared" si="28"/>
        <v>2890</v>
      </c>
      <c r="P460" s="7">
        <f t="shared" si="29"/>
        <v>75</v>
      </c>
      <c r="Q460" s="2">
        <f t="shared" si="30"/>
        <v>0</v>
      </c>
      <c r="R460" s="5" t="str">
        <f t="shared" si="31"/>
        <v>Below Average</v>
      </c>
      <c r="S460" s="5" t="str">
        <f>Table1[[#This Row],[Quarter]]&amp;" - "&amp;Table1[[#This Row],[City]]</f>
        <v>Q2 - Kolkata</v>
      </c>
    </row>
    <row r="461" spans="1:19" x14ac:dyDescent="0.3">
      <c r="A461" t="s">
        <v>525</v>
      </c>
      <c r="B461" s="1">
        <v>45465</v>
      </c>
      <c r="C461" t="s">
        <v>447</v>
      </c>
      <c r="D461" t="s">
        <v>310</v>
      </c>
      <c r="E461" t="s">
        <v>25</v>
      </c>
      <c r="F461" t="s">
        <v>47</v>
      </c>
      <c r="G461" t="s">
        <v>51</v>
      </c>
      <c r="H461">
        <v>9</v>
      </c>
      <c r="I461">
        <v>2700</v>
      </c>
      <c r="J461">
        <v>15</v>
      </c>
      <c r="K461">
        <v>20655</v>
      </c>
      <c r="L461" t="s">
        <v>66</v>
      </c>
      <c r="M461" s="2">
        <f>Table1[[#This Row],[Revenue_INR]]-Table1[[#This Row],[Price_INR]]</f>
        <v>17955</v>
      </c>
      <c r="N461">
        <f>YEAR(Table1[[#This Row],[Date]])</f>
        <v>2024</v>
      </c>
      <c r="O461" s="2">
        <f t="shared" si="28"/>
        <v>2295</v>
      </c>
      <c r="P461" s="7">
        <f t="shared" si="29"/>
        <v>86.928104575163403</v>
      </c>
      <c r="Q461" s="2">
        <f t="shared" si="30"/>
        <v>3645</v>
      </c>
      <c r="R461" s="5" t="str">
        <f t="shared" si="31"/>
        <v>Below Average</v>
      </c>
      <c r="S461" s="5" t="str">
        <f>Table1[[#This Row],[Quarter]]&amp;" - "&amp;Table1[[#This Row],[City]]</f>
        <v>Q2 - Hyderabad</v>
      </c>
    </row>
    <row r="462" spans="1:19" x14ac:dyDescent="0.3">
      <c r="A462" t="s">
        <v>526</v>
      </c>
      <c r="B462" s="1">
        <v>45465</v>
      </c>
      <c r="C462" t="s">
        <v>447</v>
      </c>
      <c r="D462" t="s">
        <v>310</v>
      </c>
      <c r="E462" t="s">
        <v>25</v>
      </c>
      <c r="F462" t="s">
        <v>31</v>
      </c>
      <c r="G462" t="s">
        <v>38</v>
      </c>
      <c r="H462">
        <v>7</v>
      </c>
      <c r="I462">
        <v>5590</v>
      </c>
      <c r="J462">
        <v>15</v>
      </c>
      <c r="K462">
        <v>33260.5</v>
      </c>
      <c r="L462" t="s">
        <v>66</v>
      </c>
      <c r="M462" s="2">
        <f>Table1[[#This Row],[Revenue_INR]]-Table1[[#This Row],[Price_INR]]</f>
        <v>27670.5</v>
      </c>
      <c r="N462">
        <f>YEAR(Table1[[#This Row],[Date]])</f>
        <v>2024</v>
      </c>
      <c r="O462" s="2">
        <f t="shared" si="28"/>
        <v>4751.5</v>
      </c>
      <c r="P462" s="7">
        <f t="shared" si="29"/>
        <v>83.193277310924373</v>
      </c>
      <c r="Q462" s="2">
        <f t="shared" si="30"/>
        <v>5869.5</v>
      </c>
      <c r="R462" s="5" t="str">
        <f t="shared" si="31"/>
        <v>Above Average</v>
      </c>
      <c r="S462" s="5" t="str">
        <f>Table1[[#This Row],[Quarter]]&amp;" - "&amp;Table1[[#This Row],[City]]</f>
        <v>Q2 - Hyderabad</v>
      </c>
    </row>
    <row r="463" spans="1:19" x14ac:dyDescent="0.3">
      <c r="A463" t="s">
        <v>527</v>
      </c>
      <c r="B463" s="1">
        <v>45466</v>
      </c>
      <c r="C463" t="s">
        <v>447</v>
      </c>
      <c r="D463" t="s">
        <v>310</v>
      </c>
      <c r="E463" t="s">
        <v>34</v>
      </c>
      <c r="F463" t="s">
        <v>60</v>
      </c>
      <c r="G463" t="s">
        <v>61</v>
      </c>
      <c r="H463">
        <v>14</v>
      </c>
      <c r="I463">
        <v>1430</v>
      </c>
      <c r="J463">
        <v>0</v>
      </c>
      <c r="K463">
        <v>20020</v>
      </c>
      <c r="L463" t="s">
        <v>36</v>
      </c>
      <c r="M463" s="2">
        <f>Table1[[#This Row],[Revenue_INR]]-Table1[[#This Row],[Price_INR]]</f>
        <v>18590</v>
      </c>
      <c r="N463">
        <f>YEAR(Table1[[#This Row],[Date]])</f>
        <v>2024</v>
      </c>
      <c r="O463" s="2">
        <f t="shared" si="28"/>
        <v>1430</v>
      </c>
      <c r="P463" s="7">
        <f t="shared" si="29"/>
        <v>92.857142857142861</v>
      </c>
      <c r="Q463" s="2">
        <f t="shared" si="30"/>
        <v>0</v>
      </c>
      <c r="R463" s="5" t="str">
        <f t="shared" si="31"/>
        <v>Below Average</v>
      </c>
      <c r="S463" s="5" t="str">
        <f>Table1[[#This Row],[Quarter]]&amp;" - "&amp;Table1[[#This Row],[City]]</f>
        <v>Q2 - Delhi</v>
      </c>
    </row>
    <row r="464" spans="1:19" x14ac:dyDescent="0.3">
      <c r="A464" t="s">
        <v>528</v>
      </c>
      <c r="B464" s="1">
        <v>45466</v>
      </c>
      <c r="C464" t="s">
        <v>447</v>
      </c>
      <c r="D464" t="s">
        <v>310</v>
      </c>
      <c r="E464" t="s">
        <v>25</v>
      </c>
      <c r="F464" t="s">
        <v>26</v>
      </c>
      <c r="G464" t="s">
        <v>27</v>
      </c>
      <c r="H464">
        <v>8</v>
      </c>
      <c r="I464">
        <v>5790</v>
      </c>
      <c r="J464">
        <v>15</v>
      </c>
      <c r="K464">
        <v>39372</v>
      </c>
      <c r="L464" t="s">
        <v>42</v>
      </c>
      <c r="M464" s="2">
        <f>Table1[[#This Row],[Revenue_INR]]-Table1[[#This Row],[Price_INR]]</f>
        <v>33582</v>
      </c>
      <c r="N464">
        <f>YEAR(Table1[[#This Row],[Date]])</f>
        <v>2024</v>
      </c>
      <c r="O464" s="2">
        <f t="shared" si="28"/>
        <v>4921.5</v>
      </c>
      <c r="P464" s="7">
        <f t="shared" si="29"/>
        <v>85.294117647058826</v>
      </c>
      <c r="Q464" s="2">
        <f t="shared" si="30"/>
        <v>6948</v>
      </c>
      <c r="R464" s="5" t="str">
        <f t="shared" si="31"/>
        <v>Above Average</v>
      </c>
      <c r="S464" s="5" t="str">
        <f>Table1[[#This Row],[Quarter]]&amp;" - "&amp;Table1[[#This Row],[City]]</f>
        <v>Q2 - Hyderabad</v>
      </c>
    </row>
    <row r="465" spans="1:19" x14ac:dyDescent="0.3">
      <c r="A465" t="s">
        <v>529</v>
      </c>
      <c r="B465" s="1">
        <v>45467</v>
      </c>
      <c r="C465" t="s">
        <v>447</v>
      </c>
      <c r="D465" t="s">
        <v>310</v>
      </c>
      <c r="E465" t="s">
        <v>25</v>
      </c>
      <c r="F465" t="s">
        <v>47</v>
      </c>
      <c r="G465" t="s">
        <v>51</v>
      </c>
      <c r="H465">
        <v>14</v>
      </c>
      <c r="I465">
        <v>7590</v>
      </c>
      <c r="J465">
        <v>0</v>
      </c>
      <c r="K465">
        <v>106260</v>
      </c>
      <c r="L465" t="s">
        <v>42</v>
      </c>
      <c r="M465" s="2">
        <f>Table1[[#This Row],[Revenue_INR]]-Table1[[#This Row],[Price_INR]]</f>
        <v>98670</v>
      </c>
      <c r="N465">
        <f>YEAR(Table1[[#This Row],[Date]])</f>
        <v>2024</v>
      </c>
      <c r="O465" s="2">
        <f t="shared" si="28"/>
        <v>7590</v>
      </c>
      <c r="P465" s="7">
        <f t="shared" si="29"/>
        <v>92.857142857142861</v>
      </c>
      <c r="Q465" s="2">
        <f t="shared" si="30"/>
        <v>0</v>
      </c>
      <c r="R465" s="5" t="str">
        <f t="shared" si="31"/>
        <v>Above Average</v>
      </c>
      <c r="S465" s="5" t="str">
        <f>Table1[[#This Row],[Quarter]]&amp;" - "&amp;Table1[[#This Row],[City]]</f>
        <v>Q2 - Hyderabad</v>
      </c>
    </row>
    <row r="466" spans="1:19" x14ac:dyDescent="0.3">
      <c r="A466" t="s">
        <v>530</v>
      </c>
      <c r="B466" s="1">
        <v>45467</v>
      </c>
      <c r="C466" t="s">
        <v>447</v>
      </c>
      <c r="D466" t="s">
        <v>310</v>
      </c>
      <c r="E466" t="s">
        <v>20</v>
      </c>
      <c r="F466" t="s">
        <v>16</v>
      </c>
      <c r="G466" t="s">
        <v>44</v>
      </c>
      <c r="H466">
        <v>10</v>
      </c>
      <c r="I466">
        <v>1030</v>
      </c>
      <c r="J466">
        <v>5</v>
      </c>
      <c r="K466">
        <v>9785</v>
      </c>
      <c r="L466" t="s">
        <v>39</v>
      </c>
      <c r="M466" s="2">
        <f>Table1[[#This Row],[Revenue_INR]]-Table1[[#This Row],[Price_INR]]</f>
        <v>8755</v>
      </c>
      <c r="N466">
        <f>YEAR(Table1[[#This Row],[Date]])</f>
        <v>2024</v>
      </c>
      <c r="O466" s="2">
        <f t="shared" si="28"/>
        <v>978.5</v>
      </c>
      <c r="P466" s="7">
        <f t="shared" si="29"/>
        <v>89.473684210526315</v>
      </c>
      <c r="Q466" s="2">
        <f t="shared" si="30"/>
        <v>515</v>
      </c>
      <c r="R466" s="5" t="str">
        <f t="shared" si="31"/>
        <v>Below Average</v>
      </c>
      <c r="S466" s="5" t="str">
        <f>Table1[[#This Row],[Quarter]]&amp;" - "&amp;Table1[[#This Row],[City]]</f>
        <v>Q2 - Mumbai</v>
      </c>
    </row>
    <row r="467" spans="1:19" x14ac:dyDescent="0.3">
      <c r="A467" t="s">
        <v>531</v>
      </c>
      <c r="B467" s="1">
        <v>45468</v>
      </c>
      <c r="C467" t="s">
        <v>447</v>
      </c>
      <c r="D467" t="s">
        <v>310</v>
      </c>
      <c r="E467" t="s">
        <v>15</v>
      </c>
      <c r="F467" t="s">
        <v>16</v>
      </c>
      <c r="G467" t="s">
        <v>44</v>
      </c>
      <c r="H467">
        <v>12</v>
      </c>
      <c r="I467">
        <v>870</v>
      </c>
      <c r="J467">
        <v>30</v>
      </c>
      <c r="K467">
        <v>7308</v>
      </c>
      <c r="L467" t="s">
        <v>92</v>
      </c>
      <c r="M467" s="2">
        <f>Table1[[#This Row],[Revenue_INR]]-Table1[[#This Row],[Price_INR]]</f>
        <v>6438</v>
      </c>
      <c r="N467">
        <f>YEAR(Table1[[#This Row],[Date]])</f>
        <v>2024</v>
      </c>
      <c r="O467" s="2">
        <f t="shared" si="28"/>
        <v>609</v>
      </c>
      <c r="P467" s="7">
        <f t="shared" si="29"/>
        <v>88.095238095238088</v>
      </c>
      <c r="Q467" s="2">
        <f t="shared" si="30"/>
        <v>3132</v>
      </c>
      <c r="R467" s="5" t="str">
        <f t="shared" si="31"/>
        <v>Below Average</v>
      </c>
      <c r="S467" s="5" t="str">
        <f>Table1[[#This Row],[Quarter]]&amp;" - "&amp;Table1[[#This Row],[City]]</f>
        <v>Q2 - Kolkata</v>
      </c>
    </row>
    <row r="468" spans="1:19" x14ac:dyDescent="0.3">
      <c r="A468" t="s">
        <v>532</v>
      </c>
      <c r="B468" s="1">
        <v>45468</v>
      </c>
      <c r="C468" t="s">
        <v>447</v>
      </c>
      <c r="D468" t="s">
        <v>310</v>
      </c>
      <c r="E468" t="s">
        <v>20</v>
      </c>
      <c r="F468" t="s">
        <v>31</v>
      </c>
      <c r="G468" t="s">
        <v>32</v>
      </c>
      <c r="H468">
        <v>15</v>
      </c>
      <c r="I468">
        <v>4740</v>
      </c>
      <c r="J468">
        <v>25</v>
      </c>
      <c r="K468">
        <v>53325</v>
      </c>
      <c r="L468" t="s">
        <v>39</v>
      </c>
      <c r="M468" s="2">
        <f>Table1[[#This Row],[Revenue_INR]]-Table1[[#This Row],[Price_INR]]</f>
        <v>48585</v>
      </c>
      <c r="N468">
        <f>YEAR(Table1[[#This Row],[Date]])</f>
        <v>2024</v>
      </c>
      <c r="O468" s="2">
        <f t="shared" si="28"/>
        <v>3555</v>
      </c>
      <c r="P468" s="7">
        <f t="shared" si="29"/>
        <v>91.111111111111114</v>
      </c>
      <c r="Q468" s="2">
        <f t="shared" si="30"/>
        <v>17775</v>
      </c>
      <c r="R468" s="5" t="str">
        <f t="shared" si="31"/>
        <v>Above Average</v>
      </c>
      <c r="S468" s="5" t="str">
        <f>Table1[[#This Row],[Quarter]]&amp;" - "&amp;Table1[[#This Row],[City]]</f>
        <v>Q2 - Mumbai</v>
      </c>
    </row>
    <row r="469" spans="1:19" x14ac:dyDescent="0.3">
      <c r="A469" t="s">
        <v>533</v>
      </c>
      <c r="B469" s="1">
        <v>45468</v>
      </c>
      <c r="C469" t="s">
        <v>447</v>
      </c>
      <c r="D469" t="s">
        <v>310</v>
      </c>
      <c r="E469" t="s">
        <v>20</v>
      </c>
      <c r="F469" t="s">
        <v>26</v>
      </c>
      <c r="G469" t="s">
        <v>80</v>
      </c>
      <c r="H469">
        <v>14</v>
      </c>
      <c r="I469">
        <v>10540</v>
      </c>
      <c r="J469">
        <v>20</v>
      </c>
      <c r="K469">
        <v>118048</v>
      </c>
      <c r="L469" t="s">
        <v>23</v>
      </c>
      <c r="M469" s="2">
        <f>Table1[[#This Row],[Revenue_INR]]-Table1[[#This Row],[Price_INR]]</f>
        <v>107508</v>
      </c>
      <c r="N469">
        <f>YEAR(Table1[[#This Row],[Date]])</f>
        <v>2024</v>
      </c>
      <c r="O469" s="2">
        <f t="shared" si="28"/>
        <v>8432</v>
      </c>
      <c r="P469" s="7">
        <f t="shared" si="29"/>
        <v>91.071428571428569</v>
      </c>
      <c r="Q469" s="2">
        <f t="shared" si="30"/>
        <v>29512</v>
      </c>
      <c r="R469" s="5" t="str">
        <f t="shared" si="31"/>
        <v>Above Average</v>
      </c>
      <c r="S469" s="5" t="str">
        <f>Table1[[#This Row],[Quarter]]&amp;" - "&amp;Table1[[#This Row],[City]]</f>
        <v>Q2 - Mumbai</v>
      </c>
    </row>
    <row r="470" spans="1:19" x14ac:dyDescent="0.3">
      <c r="A470" t="s">
        <v>534</v>
      </c>
      <c r="B470" s="1">
        <v>45468</v>
      </c>
      <c r="C470" t="s">
        <v>447</v>
      </c>
      <c r="D470" t="s">
        <v>310</v>
      </c>
      <c r="E470" t="s">
        <v>20</v>
      </c>
      <c r="F470" t="s">
        <v>26</v>
      </c>
      <c r="G470" t="s">
        <v>58</v>
      </c>
      <c r="H470">
        <v>7</v>
      </c>
      <c r="I470">
        <v>11800</v>
      </c>
      <c r="J470">
        <v>30</v>
      </c>
      <c r="K470">
        <v>57820</v>
      </c>
      <c r="L470" t="s">
        <v>39</v>
      </c>
      <c r="M470" s="2">
        <f>Table1[[#This Row],[Revenue_INR]]-Table1[[#This Row],[Price_INR]]</f>
        <v>46020</v>
      </c>
      <c r="N470">
        <f>YEAR(Table1[[#This Row],[Date]])</f>
        <v>2024</v>
      </c>
      <c r="O470" s="2">
        <f t="shared" si="28"/>
        <v>8260</v>
      </c>
      <c r="P470" s="7">
        <f t="shared" si="29"/>
        <v>79.591836734693871</v>
      </c>
      <c r="Q470" s="2">
        <f t="shared" si="30"/>
        <v>24780</v>
      </c>
      <c r="R470" s="5" t="str">
        <f t="shared" si="31"/>
        <v>Above Average</v>
      </c>
      <c r="S470" s="5" t="str">
        <f>Table1[[#This Row],[Quarter]]&amp;" - "&amp;Table1[[#This Row],[City]]</f>
        <v>Q2 - Mumbai</v>
      </c>
    </row>
    <row r="471" spans="1:19" x14ac:dyDescent="0.3">
      <c r="A471" t="s">
        <v>535</v>
      </c>
      <c r="B471" s="1">
        <v>45468</v>
      </c>
      <c r="C471" t="s">
        <v>447</v>
      </c>
      <c r="D471" t="s">
        <v>310</v>
      </c>
      <c r="E471" t="s">
        <v>25</v>
      </c>
      <c r="F471" t="s">
        <v>21</v>
      </c>
      <c r="G471" t="s">
        <v>22</v>
      </c>
      <c r="H471">
        <v>5</v>
      </c>
      <c r="I471">
        <v>2480</v>
      </c>
      <c r="J471">
        <v>25</v>
      </c>
      <c r="K471">
        <v>9300</v>
      </c>
      <c r="L471" t="s">
        <v>66</v>
      </c>
      <c r="M471" s="2">
        <f>Table1[[#This Row],[Revenue_INR]]-Table1[[#This Row],[Price_INR]]</f>
        <v>6820</v>
      </c>
      <c r="N471">
        <f>YEAR(Table1[[#This Row],[Date]])</f>
        <v>2024</v>
      </c>
      <c r="O471" s="2">
        <f t="shared" si="28"/>
        <v>1860</v>
      </c>
      <c r="P471" s="7">
        <f t="shared" si="29"/>
        <v>73.333333333333329</v>
      </c>
      <c r="Q471" s="2">
        <f t="shared" si="30"/>
        <v>3100</v>
      </c>
      <c r="R471" s="5" t="str">
        <f t="shared" si="31"/>
        <v>Below Average</v>
      </c>
      <c r="S471" s="5" t="str">
        <f>Table1[[#This Row],[Quarter]]&amp;" - "&amp;Table1[[#This Row],[City]]</f>
        <v>Q2 - Hyderabad</v>
      </c>
    </row>
    <row r="472" spans="1:19" x14ac:dyDescent="0.3">
      <c r="A472" t="s">
        <v>536</v>
      </c>
      <c r="B472" s="1">
        <v>45469</v>
      </c>
      <c r="C472" t="s">
        <v>447</v>
      </c>
      <c r="D472" t="s">
        <v>310</v>
      </c>
      <c r="E472" t="s">
        <v>20</v>
      </c>
      <c r="F472" t="s">
        <v>47</v>
      </c>
      <c r="G472" t="s">
        <v>51</v>
      </c>
      <c r="H472">
        <v>2</v>
      </c>
      <c r="I472">
        <v>4320</v>
      </c>
      <c r="J472">
        <v>5</v>
      </c>
      <c r="K472">
        <v>8208</v>
      </c>
      <c r="L472" t="s">
        <v>23</v>
      </c>
      <c r="M472" s="2">
        <f>Table1[[#This Row],[Revenue_INR]]-Table1[[#This Row],[Price_INR]]</f>
        <v>3888</v>
      </c>
      <c r="N472">
        <f>YEAR(Table1[[#This Row],[Date]])</f>
        <v>2024</v>
      </c>
      <c r="O472" s="2">
        <f t="shared" si="28"/>
        <v>4104</v>
      </c>
      <c r="P472" s="7">
        <f t="shared" si="29"/>
        <v>47.368421052631575</v>
      </c>
      <c r="Q472" s="2">
        <f t="shared" si="30"/>
        <v>432</v>
      </c>
      <c r="R472" s="5" t="str">
        <f t="shared" si="31"/>
        <v>Below Average</v>
      </c>
      <c r="S472" s="5" t="str">
        <f>Table1[[#This Row],[Quarter]]&amp;" - "&amp;Table1[[#This Row],[City]]</f>
        <v>Q2 - Mumbai</v>
      </c>
    </row>
    <row r="473" spans="1:19" x14ac:dyDescent="0.3">
      <c r="A473" t="s">
        <v>537</v>
      </c>
      <c r="B473" s="1">
        <v>45470</v>
      </c>
      <c r="C473" t="s">
        <v>447</v>
      </c>
      <c r="D473" t="s">
        <v>310</v>
      </c>
      <c r="E473" t="s">
        <v>15</v>
      </c>
      <c r="F473" t="s">
        <v>26</v>
      </c>
      <c r="G473" t="s">
        <v>80</v>
      </c>
      <c r="H473">
        <v>13</v>
      </c>
      <c r="I473">
        <v>8710</v>
      </c>
      <c r="J473">
        <v>10</v>
      </c>
      <c r="K473">
        <v>101907</v>
      </c>
      <c r="L473" t="s">
        <v>53</v>
      </c>
      <c r="M473" s="2">
        <f>Table1[[#This Row],[Revenue_INR]]-Table1[[#This Row],[Price_INR]]</f>
        <v>93197</v>
      </c>
      <c r="N473">
        <f>YEAR(Table1[[#This Row],[Date]])</f>
        <v>2024</v>
      </c>
      <c r="O473" s="2">
        <f t="shared" si="28"/>
        <v>7839</v>
      </c>
      <c r="P473" s="7">
        <f t="shared" si="29"/>
        <v>91.452991452991455</v>
      </c>
      <c r="Q473" s="2">
        <f t="shared" si="30"/>
        <v>11323</v>
      </c>
      <c r="R473" s="5" t="str">
        <f t="shared" si="31"/>
        <v>Above Average</v>
      </c>
      <c r="S473" s="5" t="str">
        <f>Table1[[#This Row],[Quarter]]&amp;" - "&amp;Table1[[#This Row],[City]]</f>
        <v>Q2 - Kolkata</v>
      </c>
    </row>
    <row r="474" spans="1:19" x14ac:dyDescent="0.3">
      <c r="A474" t="s">
        <v>538</v>
      </c>
      <c r="B474" s="1">
        <v>45471</v>
      </c>
      <c r="C474" t="s">
        <v>447</v>
      </c>
      <c r="D474" t="s">
        <v>310</v>
      </c>
      <c r="E474" t="s">
        <v>20</v>
      </c>
      <c r="F474" t="s">
        <v>47</v>
      </c>
      <c r="G474" t="s">
        <v>55</v>
      </c>
      <c r="H474">
        <v>11</v>
      </c>
      <c r="I474">
        <v>5680</v>
      </c>
      <c r="J474">
        <v>15</v>
      </c>
      <c r="K474">
        <v>53108</v>
      </c>
      <c r="L474" t="s">
        <v>39</v>
      </c>
      <c r="M474" s="2">
        <f>Table1[[#This Row],[Revenue_INR]]-Table1[[#This Row],[Price_INR]]</f>
        <v>47428</v>
      </c>
      <c r="N474">
        <f>YEAR(Table1[[#This Row],[Date]])</f>
        <v>2024</v>
      </c>
      <c r="O474" s="2">
        <f t="shared" si="28"/>
        <v>4828</v>
      </c>
      <c r="P474" s="7">
        <f t="shared" si="29"/>
        <v>89.304812834224606</v>
      </c>
      <c r="Q474" s="2">
        <f t="shared" si="30"/>
        <v>9372</v>
      </c>
      <c r="R474" s="5" t="str">
        <f t="shared" si="31"/>
        <v>Above Average</v>
      </c>
      <c r="S474" s="5" t="str">
        <f>Table1[[#This Row],[Quarter]]&amp;" - "&amp;Table1[[#This Row],[City]]</f>
        <v>Q2 - Mumbai</v>
      </c>
    </row>
    <row r="475" spans="1:19" x14ac:dyDescent="0.3">
      <c r="A475" t="s">
        <v>539</v>
      </c>
      <c r="B475" s="1">
        <v>45471</v>
      </c>
      <c r="C475" t="s">
        <v>447</v>
      </c>
      <c r="D475" t="s">
        <v>310</v>
      </c>
      <c r="E475" t="s">
        <v>20</v>
      </c>
      <c r="F475" t="s">
        <v>21</v>
      </c>
      <c r="G475" t="s">
        <v>94</v>
      </c>
      <c r="H475">
        <v>5</v>
      </c>
      <c r="I475">
        <v>2700</v>
      </c>
      <c r="J475">
        <v>10</v>
      </c>
      <c r="K475">
        <v>12150</v>
      </c>
      <c r="L475" t="s">
        <v>39</v>
      </c>
      <c r="M475" s="2">
        <f>Table1[[#This Row],[Revenue_INR]]-Table1[[#This Row],[Price_INR]]</f>
        <v>9450</v>
      </c>
      <c r="N475">
        <f>YEAR(Table1[[#This Row],[Date]])</f>
        <v>2024</v>
      </c>
      <c r="O475" s="2">
        <f t="shared" si="28"/>
        <v>2430</v>
      </c>
      <c r="P475" s="7">
        <f t="shared" si="29"/>
        <v>77.777777777777786</v>
      </c>
      <c r="Q475" s="2">
        <f t="shared" si="30"/>
        <v>1350</v>
      </c>
      <c r="R475" s="5" t="str">
        <f t="shared" si="31"/>
        <v>Below Average</v>
      </c>
      <c r="S475" s="5" t="str">
        <f>Table1[[#This Row],[Quarter]]&amp;" - "&amp;Table1[[#This Row],[City]]</f>
        <v>Q2 - Mumbai</v>
      </c>
    </row>
    <row r="476" spans="1:19" x14ac:dyDescent="0.3">
      <c r="A476" t="s">
        <v>540</v>
      </c>
      <c r="B476" s="1">
        <v>45471</v>
      </c>
      <c r="C476" t="s">
        <v>447</v>
      </c>
      <c r="D476" t="s">
        <v>310</v>
      </c>
      <c r="E476" t="s">
        <v>20</v>
      </c>
      <c r="F476" t="s">
        <v>21</v>
      </c>
      <c r="G476" t="s">
        <v>22</v>
      </c>
      <c r="H476">
        <v>10</v>
      </c>
      <c r="I476">
        <v>2990</v>
      </c>
      <c r="J476">
        <v>25</v>
      </c>
      <c r="K476">
        <v>22425</v>
      </c>
      <c r="L476" t="s">
        <v>77</v>
      </c>
      <c r="M476" s="2">
        <f>Table1[[#This Row],[Revenue_INR]]-Table1[[#This Row],[Price_INR]]</f>
        <v>19435</v>
      </c>
      <c r="N476">
        <f>YEAR(Table1[[#This Row],[Date]])</f>
        <v>2024</v>
      </c>
      <c r="O476" s="2">
        <f t="shared" si="28"/>
        <v>2242.5</v>
      </c>
      <c r="P476" s="7">
        <f t="shared" si="29"/>
        <v>86.666666666666671</v>
      </c>
      <c r="Q476" s="2">
        <f t="shared" si="30"/>
        <v>7475</v>
      </c>
      <c r="R476" s="5" t="str">
        <f t="shared" si="31"/>
        <v>Below Average</v>
      </c>
      <c r="S476" s="5" t="str">
        <f>Table1[[#This Row],[Quarter]]&amp;" - "&amp;Table1[[#This Row],[City]]</f>
        <v>Q2 - Mumbai</v>
      </c>
    </row>
    <row r="477" spans="1:19" x14ac:dyDescent="0.3">
      <c r="A477" t="s">
        <v>541</v>
      </c>
      <c r="B477" s="1">
        <v>45471</v>
      </c>
      <c r="C477" t="s">
        <v>447</v>
      </c>
      <c r="D477" t="s">
        <v>310</v>
      </c>
      <c r="E477" t="s">
        <v>25</v>
      </c>
      <c r="F477" t="s">
        <v>60</v>
      </c>
      <c r="G477" t="s">
        <v>61</v>
      </c>
      <c r="H477">
        <v>3</v>
      </c>
      <c r="I477">
        <v>1760</v>
      </c>
      <c r="J477">
        <v>15</v>
      </c>
      <c r="K477">
        <v>4488</v>
      </c>
      <c r="L477" t="s">
        <v>66</v>
      </c>
      <c r="M477" s="2">
        <f>Table1[[#This Row],[Revenue_INR]]-Table1[[#This Row],[Price_INR]]</f>
        <v>2728</v>
      </c>
      <c r="N477">
        <f>YEAR(Table1[[#This Row],[Date]])</f>
        <v>2024</v>
      </c>
      <c r="O477" s="2">
        <f t="shared" si="28"/>
        <v>1496</v>
      </c>
      <c r="P477" s="7">
        <f t="shared" si="29"/>
        <v>60.784313725490193</v>
      </c>
      <c r="Q477" s="2">
        <f t="shared" si="30"/>
        <v>792</v>
      </c>
      <c r="R477" s="5" t="str">
        <f t="shared" si="31"/>
        <v>Below Average</v>
      </c>
      <c r="S477" s="5" t="str">
        <f>Table1[[#This Row],[Quarter]]&amp;" - "&amp;Table1[[#This Row],[City]]</f>
        <v>Q2 - Hyderabad</v>
      </c>
    </row>
    <row r="478" spans="1:19" x14ac:dyDescent="0.3">
      <c r="A478" t="s">
        <v>542</v>
      </c>
      <c r="B478" s="1">
        <v>45472</v>
      </c>
      <c r="C478" t="s">
        <v>447</v>
      </c>
      <c r="D478" t="s">
        <v>310</v>
      </c>
      <c r="E478" t="s">
        <v>15</v>
      </c>
      <c r="F478" t="s">
        <v>21</v>
      </c>
      <c r="G478" t="s">
        <v>71</v>
      </c>
      <c r="H478">
        <v>1</v>
      </c>
      <c r="I478">
        <v>1750</v>
      </c>
      <c r="J478">
        <v>25</v>
      </c>
      <c r="K478">
        <v>1312.5</v>
      </c>
      <c r="L478" t="s">
        <v>18</v>
      </c>
      <c r="M478" s="2">
        <f>Table1[[#This Row],[Revenue_INR]]-Table1[[#This Row],[Price_INR]]</f>
        <v>-437.5</v>
      </c>
      <c r="N478">
        <f>YEAR(Table1[[#This Row],[Date]])</f>
        <v>2024</v>
      </c>
      <c r="O478" s="2">
        <f t="shared" si="28"/>
        <v>1312.5</v>
      </c>
      <c r="P478" s="7">
        <f t="shared" si="29"/>
        <v>-33.333333333333329</v>
      </c>
      <c r="Q478" s="2">
        <f t="shared" si="30"/>
        <v>437.5</v>
      </c>
      <c r="R478" s="5" t="str">
        <f t="shared" si="31"/>
        <v>Below Average</v>
      </c>
      <c r="S478" s="5" t="str">
        <f>Table1[[#This Row],[Quarter]]&amp;" - "&amp;Table1[[#This Row],[City]]</f>
        <v>Q2 - Kolkata</v>
      </c>
    </row>
    <row r="479" spans="1:19" x14ac:dyDescent="0.3">
      <c r="A479" t="s">
        <v>543</v>
      </c>
      <c r="B479" s="1">
        <v>45472</v>
      </c>
      <c r="C479" t="s">
        <v>447</v>
      </c>
      <c r="D479" t="s">
        <v>310</v>
      </c>
      <c r="E479" t="s">
        <v>20</v>
      </c>
      <c r="F479" t="s">
        <v>21</v>
      </c>
      <c r="G479" t="s">
        <v>75</v>
      </c>
      <c r="H479">
        <v>13</v>
      </c>
      <c r="I479">
        <v>3490</v>
      </c>
      <c r="J479">
        <v>15</v>
      </c>
      <c r="K479">
        <v>38564.5</v>
      </c>
      <c r="L479" t="s">
        <v>77</v>
      </c>
      <c r="M479" s="2">
        <f>Table1[[#This Row],[Revenue_INR]]-Table1[[#This Row],[Price_INR]]</f>
        <v>35074.5</v>
      </c>
      <c r="N479">
        <f>YEAR(Table1[[#This Row],[Date]])</f>
        <v>2024</v>
      </c>
      <c r="O479" s="2">
        <f t="shared" si="28"/>
        <v>2966.5</v>
      </c>
      <c r="P479" s="7">
        <f t="shared" si="29"/>
        <v>90.950226244343895</v>
      </c>
      <c r="Q479" s="2">
        <f t="shared" si="30"/>
        <v>6805.5</v>
      </c>
      <c r="R479" s="5" t="str">
        <f t="shared" si="31"/>
        <v>Above Average</v>
      </c>
      <c r="S479" s="5" t="str">
        <f>Table1[[#This Row],[Quarter]]&amp;" - "&amp;Table1[[#This Row],[City]]</f>
        <v>Q2 - Mumbai</v>
      </c>
    </row>
    <row r="480" spans="1:19" x14ac:dyDescent="0.3">
      <c r="A480" t="s">
        <v>544</v>
      </c>
      <c r="B480" s="1">
        <v>45473</v>
      </c>
      <c r="C480" t="s">
        <v>447</v>
      </c>
      <c r="D480" t="s">
        <v>310</v>
      </c>
      <c r="E480" t="s">
        <v>20</v>
      </c>
      <c r="F480" t="s">
        <v>21</v>
      </c>
      <c r="G480" t="s">
        <v>94</v>
      </c>
      <c r="H480">
        <v>15</v>
      </c>
      <c r="I480">
        <v>2960</v>
      </c>
      <c r="J480">
        <v>30</v>
      </c>
      <c r="K480">
        <v>31080</v>
      </c>
      <c r="L480" t="s">
        <v>39</v>
      </c>
      <c r="M480" s="2">
        <f>Table1[[#This Row],[Revenue_INR]]-Table1[[#This Row],[Price_INR]]</f>
        <v>28120</v>
      </c>
      <c r="N480">
        <f>YEAR(Table1[[#This Row],[Date]])</f>
        <v>2024</v>
      </c>
      <c r="O480" s="2">
        <f t="shared" si="28"/>
        <v>2072</v>
      </c>
      <c r="P480" s="7">
        <f t="shared" si="29"/>
        <v>90.476190476190482</v>
      </c>
      <c r="Q480" s="2">
        <f t="shared" si="30"/>
        <v>13320</v>
      </c>
      <c r="R480" s="5" t="str">
        <f t="shared" si="31"/>
        <v>Above Average</v>
      </c>
      <c r="S480" s="5" t="str">
        <f>Table1[[#This Row],[Quarter]]&amp;" - "&amp;Table1[[#This Row],[City]]</f>
        <v>Q2 - Mumbai</v>
      </c>
    </row>
    <row r="481" spans="1:19" x14ac:dyDescent="0.3">
      <c r="A481" t="s">
        <v>545</v>
      </c>
      <c r="B481" s="1">
        <v>45474</v>
      </c>
      <c r="C481" t="s">
        <v>546</v>
      </c>
      <c r="D481" t="s">
        <v>547</v>
      </c>
      <c r="E481" t="s">
        <v>20</v>
      </c>
      <c r="F481" t="s">
        <v>21</v>
      </c>
      <c r="G481" t="s">
        <v>94</v>
      </c>
      <c r="H481">
        <v>12</v>
      </c>
      <c r="I481">
        <v>1200</v>
      </c>
      <c r="J481">
        <v>5</v>
      </c>
      <c r="K481">
        <v>13680</v>
      </c>
      <c r="L481" t="s">
        <v>23</v>
      </c>
      <c r="M481" s="2">
        <f>Table1[[#This Row],[Revenue_INR]]-Table1[[#This Row],[Price_INR]]</f>
        <v>12480</v>
      </c>
      <c r="N481">
        <f>YEAR(Table1[[#This Row],[Date]])</f>
        <v>2024</v>
      </c>
      <c r="O481" s="2">
        <f t="shared" si="28"/>
        <v>1140</v>
      </c>
      <c r="P481" s="7">
        <f t="shared" si="29"/>
        <v>91.228070175438589</v>
      </c>
      <c r="Q481" s="2">
        <f t="shared" si="30"/>
        <v>720</v>
      </c>
      <c r="R481" s="5" t="str">
        <f t="shared" si="31"/>
        <v>Below Average</v>
      </c>
      <c r="S481" s="5" t="str">
        <f>Table1[[#This Row],[Quarter]]&amp;" - "&amp;Table1[[#This Row],[City]]</f>
        <v>Q3 - Mumbai</v>
      </c>
    </row>
    <row r="482" spans="1:19" x14ac:dyDescent="0.3">
      <c r="A482" t="s">
        <v>548</v>
      </c>
      <c r="B482" s="1">
        <v>45475</v>
      </c>
      <c r="C482" t="s">
        <v>546</v>
      </c>
      <c r="D482" t="s">
        <v>547</v>
      </c>
      <c r="E482" t="s">
        <v>15</v>
      </c>
      <c r="F482" t="s">
        <v>26</v>
      </c>
      <c r="G482" t="s">
        <v>58</v>
      </c>
      <c r="H482">
        <v>7</v>
      </c>
      <c r="I482">
        <v>3580</v>
      </c>
      <c r="J482">
        <v>30</v>
      </c>
      <c r="K482">
        <v>17542</v>
      </c>
      <c r="L482" t="s">
        <v>18</v>
      </c>
      <c r="M482" s="2">
        <f>Table1[[#This Row],[Revenue_INR]]-Table1[[#This Row],[Price_INR]]</f>
        <v>13962</v>
      </c>
      <c r="N482">
        <f>YEAR(Table1[[#This Row],[Date]])</f>
        <v>2024</v>
      </c>
      <c r="O482" s="2">
        <f t="shared" si="28"/>
        <v>2506</v>
      </c>
      <c r="P482" s="7">
        <f t="shared" si="29"/>
        <v>79.591836734693871</v>
      </c>
      <c r="Q482" s="2">
        <f t="shared" si="30"/>
        <v>7518</v>
      </c>
      <c r="R482" s="5" t="str">
        <f t="shared" si="31"/>
        <v>Below Average</v>
      </c>
      <c r="S482" s="5" t="str">
        <f>Table1[[#This Row],[Quarter]]&amp;" - "&amp;Table1[[#This Row],[City]]</f>
        <v>Q3 - Kolkata</v>
      </c>
    </row>
    <row r="483" spans="1:19" x14ac:dyDescent="0.3">
      <c r="A483" t="s">
        <v>549</v>
      </c>
      <c r="B483" s="1">
        <v>45475</v>
      </c>
      <c r="C483" t="s">
        <v>546</v>
      </c>
      <c r="D483" t="s">
        <v>547</v>
      </c>
      <c r="E483" t="s">
        <v>34</v>
      </c>
      <c r="F483" t="s">
        <v>47</v>
      </c>
      <c r="G483" t="s">
        <v>51</v>
      </c>
      <c r="H483">
        <v>15</v>
      </c>
      <c r="I483">
        <v>4400</v>
      </c>
      <c r="J483">
        <v>15</v>
      </c>
      <c r="K483">
        <v>56100</v>
      </c>
      <c r="L483" t="s">
        <v>45</v>
      </c>
      <c r="M483" s="2">
        <f>Table1[[#This Row],[Revenue_INR]]-Table1[[#This Row],[Price_INR]]</f>
        <v>51700</v>
      </c>
      <c r="N483">
        <f>YEAR(Table1[[#This Row],[Date]])</f>
        <v>2024</v>
      </c>
      <c r="O483" s="2">
        <f t="shared" si="28"/>
        <v>3740</v>
      </c>
      <c r="P483" s="7">
        <f t="shared" si="29"/>
        <v>92.156862745098039</v>
      </c>
      <c r="Q483" s="2">
        <f t="shared" si="30"/>
        <v>9900</v>
      </c>
      <c r="R483" s="5" t="str">
        <f t="shared" si="31"/>
        <v>Above Average</v>
      </c>
      <c r="S483" s="5" t="str">
        <f>Table1[[#This Row],[Quarter]]&amp;" - "&amp;Table1[[#This Row],[City]]</f>
        <v>Q3 - Delhi</v>
      </c>
    </row>
    <row r="484" spans="1:19" x14ac:dyDescent="0.3">
      <c r="A484" t="s">
        <v>550</v>
      </c>
      <c r="B484" s="1">
        <v>45475</v>
      </c>
      <c r="C484" t="s">
        <v>546</v>
      </c>
      <c r="D484" t="s">
        <v>547</v>
      </c>
      <c r="E484" t="s">
        <v>15</v>
      </c>
      <c r="F484" t="s">
        <v>31</v>
      </c>
      <c r="G484" t="s">
        <v>32</v>
      </c>
      <c r="H484">
        <v>4</v>
      </c>
      <c r="I484">
        <v>3290</v>
      </c>
      <c r="J484">
        <v>25</v>
      </c>
      <c r="K484">
        <v>9870</v>
      </c>
      <c r="L484" t="s">
        <v>53</v>
      </c>
      <c r="M484" s="2">
        <f>Table1[[#This Row],[Revenue_INR]]-Table1[[#This Row],[Price_INR]]</f>
        <v>6580</v>
      </c>
      <c r="N484">
        <f>YEAR(Table1[[#This Row],[Date]])</f>
        <v>2024</v>
      </c>
      <c r="O484" s="2">
        <f t="shared" si="28"/>
        <v>2467.5</v>
      </c>
      <c r="P484" s="7">
        <f t="shared" si="29"/>
        <v>66.666666666666657</v>
      </c>
      <c r="Q484" s="2">
        <f t="shared" si="30"/>
        <v>3290</v>
      </c>
      <c r="R484" s="5" t="str">
        <f t="shared" si="31"/>
        <v>Below Average</v>
      </c>
      <c r="S484" s="5" t="str">
        <f>Table1[[#This Row],[Quarter]]&amp;" - "&amp;Table1[[#This Row],[City]]</f>
        <v>Q3 - Kolkata</v>
      </c>
    </row>
    <row r="485" spans="1:19" x14ac:dyDescent="0.3">
      <c r="A485" t="s">
        <v>551</v>
      </c>
      <c r="B485" s="1">
        <v>45475</v>
      </c>
      <c r="C485" t="s">
        <v>546</v>
      </c>
      <c r="D485" t="s">
        <v>547</v>
      </c>
      <c r="E485" t="s">
        <v>25</v>
      </c>
      <c r="F485" t="s">
        <v>60</v>
      </c>
      <c r="G485" t="s">
        <v>99</v>
      </c>
      <c r="H485">
        <v>9</v>
      </c>
      <c r="I485">
        <v>990</v>
      </c>
      <c r="J485">
        <v>0</v>
      </c>
      <c r="K485">
        <v>8910</v>
      </c>
      <c r="L485" t="s">
        <v>28</v>
      </c>
      <c r="M485" s="2">
        <f>Table1[[#This Row],[Revenue_INR]]-Table1[[#This Row],[Price_INR]]</f>
        <v>7920</v>
      </c>
      <c r="N485">
        <f>YEAR(Table1[[#This Row],[Date]])</f>
        <v>2024</v>
      </c>
      <c r="O485" s="2">
        <f t="shared" si="28"/>
        <v>990</v>
      </c>
      <c r="P485" s="7">
        <f t="shared" si="29"/>
        <v>88.888888888888886</v>
      </c>
      <c r="Q485" s="2">
        <f t="shared" si="30"/>
        <v>0</v>
      </c>
      <c r="R485" s="5" t="str">
        <f t="shared" si="31"/>
        <v>Below Average</v>
      </c>
      <c r="S485" s="5" t="str">
        <f>Table1[[#This Row],[Quarter]]&amp;" - "&amp;Table1[[#This Row],[City]]</f>
        <v>Q3 - Hyderabad</v>
      </c>
    </row>
    <row r="486" spans="1:19" x14ac:dyDescent="0.3">
      <c r="A486" t="s">
        <v>552</v>
      </c>
      <c r="B486" s="1">
        <v>45476</v>
      </c>
      <c r="C486" t="s">
        <v>546</v>
      </c>
      <c r="D486" t="s">
        <v>547</v>
      </c>
      <c r="E486" t="s">
        <v>34</v>
      </c>
      <c r="F486" t="s">
        <v>47</v>
      </c>
      <c r="G486" t="s">
        <v>51</v>
      </c>
      <c r="H486">
        <v>1</v>
      </c>
      <c r="I486">
        <v>4500</v>
      </c>
      <c r="J486">
        <v>10</v>
      </c>
      <c r="K486">
        <v>4050</v>
      </c>
      <c r="L486" t="s">
        <v>49</v>
      </c>
      <c r="M486" s="2">
        <f>Table1[[#This Row],[Revenue_INR]]-Table1[[#This Row],[Price_INR]]</f>
        <v>-450</v>
      </c>
      <c r="N486">
        <f>YEAR(Table1[[#This Row],[Date]])</f>
        <v>2024</v>
      </c>
      <c r="O486" s="2">
        <f t="shared" si="28"/>
        <v>4050</v>
      </c>
      <c r="P486" s="7">
        <f t="shared" si="29"/>
        <v>-11.111111111111111</v>
      </c>
      <c r="Q486" s="2">
        <f t="shared" si="30"/>
        <v>450</v>
      </c>
      <c r="R486" s="5" t="str">
        <f t="shared" si="31"/>
        <v>Below Average</v>
      </c>
      <c r="S486" s="5" t="str">
        <f>Table1[[#This Row],[Quarter]]&amp;" - "&amp;Table1[[#This Row],[City]]</f>
        <v>Q3 - Delhi</v>
      </c>
    </row>
    <row r="487" spans="1:19" x14ac:dyDescent="0.3">
      <c r="A487" t="s">
        <v>553</v>
      </c>
      <c r="B487" s="1">
        <v>45476</v>
      </c>
      <c r="C487" t="s">
        <v>546</v>
      </c>
      <c r="D487" t="s">
        <v>547</v>
      </c>
      <c r="E487" t="s">
        <v>34</v>
      </c>
      <c r="F487" t="s">
        <v>21</v>
      </c>
      <c r="G487" t="s">
        <v>75</v>
      </c>
      <c r="H487">
        <v>9</v>
      </c>
      <c r="I487">
        <v>2600</v>
      </c>
      <c r="J487">
        <v>30</v>
      </c>
      <c r="K487">
        <v>16380</v>
      </c>
      <c r="L487" t="s">
        <v>49</v>
      </c>
      <c r="M487" s="2">
        <f>Table1[[#This Row],[Revenue_INR]]-Table1[[#This Row],[Price_INR]]</f>
        <v>13780</v>
      </c>
      <c r="N487">
        <f>YEAR(Table1[[#This Row],[Date]])</f>
        <v>2024</v>
      </c>
      <c r="O487" s="2">
        <f t="shared" si="28"/>
        <v>1820</v>
      </c>
      <c r="P487" s="7">
        <f t="shared" si="29"/>
        <v>84.126984126984127</v>
      </c>
      <c r="Q487" s="2">
        <f t="shared" si="30"/>
        <v>7020</v>
      </c>
      <c r="R487" s="5" t="str">
        <f t="shared" si="31"/>
        <v>Below Average</v>
      </c>
      <c r="S487" s="5" t="str">
        <f>Table1[[#This Row],[Quarter]]&amp;" - "&amp;Table1[[#This Row],[City]]</f>
        <v>Q3 - Delhi</v>
      </c>
    </row>
    <row r="488" spans="1:19" x14ac:dyDescent="0.3">
      <c r="A488" t="s">
        <v>554</v>
      </c>
      <c r="B488" s="1">
        <v>45476</v>
      </c>
      <c r="C488" t="s">
        <v>546</v>
      </c>
      <c r="D488" t="s">
        <v>547</v>
      </c>
      <c r="E488" t="s">
        <v>25</v>
      </c>
      <c r="F488" t="s">
        <v>60</v>
      </c>
      <c r="G488" t="s">
        <v>85</v>
      </c>
      <c r="H488">
        <v>11</v>
      </c>
      <c r="I488">
        <v>1770</v>
      </c>
      <c r="J488">
        <v>0</v>
      </c>
      <c r="K488">
        <v>19470</v>
      </c>
      <c r="L488" t="s">
        <v>42</v>
      </c>
      <c r="M488" s="2">
        <f>Table1[[#This Row],[Revenue_INR]]-Table1[[#This Row],[Price_INR]]</f>
        <v>17700</v>
      </c>
      <c r="N488">
        <f>YEAR(Table1[[#This Row],[Date]])</f>
        <v>2024</v>
      </c>
      <c r="O488" s="2">
        <f t="shared" si="28"/>
        <v>1770</v>
      </c>
      <c r="P488" s="7">
        <f t="shared" si="29"/>
        <v>90.909090909090907</v>
      </c>
      <c r="Q488" s="2">
        <f t="shared" si="30"/>
        <v>0</v>
      </c>
      <c r="R488" s="5" t="str">
        <f t="shared" si="31"/>
        <v>Below Average</v>
      </c>
      <c r="S488" s="5" t="str">
        <f>Table1[[#This Row],[Quarter]]&amp;" - "&amp;Table1[[#This Row],[City]]</f>
        <v>Q3 - Hyderabad</v>
      </c>
    </row>
    <row r="489" spans="1:19" x14ac:dyDescent="0.3">
      <c r="A489" t="s">
        <v>555</v>
      </c>
      <c r="B489" s="1">
        <v>45477</v>
      </c>
      <c r="C489" t="s">
        <v>546</v>
      </c>
      <c r="D489" t="s">
        <v>547</v>
      </c>
      <c r="E489" t="s">
        <v>25</v>
      </c>
      <c r="F489" t="s">
        <v>21</v>
      </c>
      <c r="G489" t="s">
        <v>75</v>
      </c>
      <c r="H489">
        <v>9</v>
      </c>
      <c r="I489">
        <v>2220</v>
      </c>
      <c r="J489">
        <v>25</v>
      </c>
      <c r="K489">
        <v>14985</v>
      </c>
      <c r="L489" t="s">
        <v>42</v>
      </c>
      <c r="M489" s="2">
        <f>Table1[[#This Row],[Revenue_INR]]-Table1[[#This Row],[Price_INR]]</f>
        <v>12765</v>
      </c>
      <c r="N489">
        <f>YEAR(Table1[[#This Row],[Date]])</f>
        <v>2024</v>
      </c>
      <c r="O489" s="2">
        <f t="shared" si="28"/>
        <v>1665</v>
      </c>
      <c r="P489" s="7">
        <f t="shared" si="29"/>
        <v>85.18518518518519</v>
      </c>
      <c r="Q489" s="2">
        <f t="shared" si="30"/>
        <v>4995</v>
      </c>
      <c r="R489" s="5" t="str">
        <f t="shared" si="31"/>
        <v>Below Average</v>
      </c>
      <c r="S489" s="5" t="str">
        <f>Table1[[#This Row],[Quarter]]&amp;" - "&amp;Table1[[#This Row],[City]]</f>
        <v>Q3 - Hyderabad</v>
      </c>
    </row>
    <row r="490" spans="1:19" x14ac:dyDescent="0.3">
      <c r="A490" t="s">
        <v>556</v>
      </c>
      <c r="B490" s="1">
        <v>45477</v>
      </c>
      <c r="C490" t="s">
        <v>546</v>
      </c>
      <c r="D490" t="s">
        <v>547</v>
      </c>
      <c r="E490" t="s">
        <v>20</v>
      </c>
      <c r="F490" t="s">
        <v>16</v>
      </c>
      <c r="G490" t="s">
        <v>41</v>
      </c>
      <c r="H490">
        <v>4</v>
      </c>
      <c r="I490">
        <v>1410</v>
      </c>
      <c r="J490">
        <v>20</v>
      </c>
      <c r="K490">
        <v>4512</v>
      </c>
      <c r="L490" t="s">
        <v>77</v>
      </c>
      <c r="M490" s="2">
        <f>Table1[[#This Row],[Revenue_INR]]-Table1[[#This Row],[Price_INR]]</f>
        <v>3102</v>
      </c>
      <c r="N490">
        <f>YEAR(Table1[[#This Row],[Date]])</f>
        <v>2024</v>
      </c>
      <c r="O490" s="2">
        <f t="shared" si="28"/>
        <v>1128</v>
      </c>
      <c r="P490" s="7">
        <f t="shared" si="29"/>
        <v>68.75</v>
      </c>
      <c r="Q490" s="2">
        <f t="shared" si="30"/>
        <v>1128</v>
      </c>
      <c r="R490" s="5" t="str">
        <f t="shared" si="31"/>
        <v>Below Average</v>
      </c>
      <c r="S490" s="5" t="str">
        <f>Table1[[#This Row],[Quarter]]&amp;" - "&amp;Table1[[#This Row],[City]]</f>
        <v>Q3 - Mumbai</v>
      </c>
    </row>
    <row r="491" spans="1:19" x14ac:dyDescent="0.3">
      <c r="A491" t="s">
        <v>557</v>
      </c>
      <c r="B491" s="1">
        <v>45477</v>
      </c>
      <c r="C491" t="s">
        <v>546</v>
      </c>
      <c r="D491" t="s">
        <v>547</v>
      </c>
      <c r="E491" t="s">
        <v>20</v>
      </c>
      <c r="F491" t="s">
        <v>60</v>
      </c>
      <c r="G491" t="s">
        <v>99</v>
      </c>
      <c r="H491">
        <v>2</v>
      </c>
      <c r="I491">
        <v>1540</v>
      </c>
      <c r="J491">
        <v>20</v>
      </c>
      <c r="K491">
        <v>2464</v>
      </c>
      <c r="L491" t="s">
        <v>77</v>
      </c>
      <c r="M491" s="2">
        <f>Table1[[#This Row],[Revenue_INR]]-Table1[[#This Row],[Price_INR]]</f>
        <v>924</v>
      </c>
      <c r="N491">
        <f>YEAR(Table1[[#This Row],[Date]])</f>
        <v>2024</v>
      </c>
      <c r="O491" s="2">
        <f t="shared" si="28"/>
        <v>1232</v>
      </c>
      <c r="P491" s="7">
        <f t="shared" si="29"/>
        <v>37.5</v>
      </c>
      <c r="Q491" s="2">
        <f t="shared" si="30"/>
        <v>616</v>
      </c>
      <c r="R491" s="5" t="str">
        <f t="shared" si="31"/>
        <v>Below Average</v>
      </c>
      <c r="S491" s="5" t="str">
        <f>Table1[[#This Row],[Quarter]]&amp;" - "&amp;Table1[[#This Row],[City]]</f>
        <v>Q3 - Mumbai</v>
      </c>
    </row>
    <row r="492" spans="1:19" x14ac:dyDescent="0.3">
      <c r="A492" t="s">
        <v>558</v>
      </c>
      <c r="B492" s="1">
        <v>45478</v>
      </c>
      <c r="C492" t="s">
        <v>546</v>
      </c>
      <c r="D492" t="s">
        <v>547</v>
      </c>
      <c r="E492" t="s">
        <v>25</v>
      </c>
      <c r="F492" t="s">
        <v>31</v>
      </c>
      <c r="G492" t="s">
        <v>35</v>
      </c>
      <c r="H492">
        <v>13</v>
      </c>
      <c r="I492">
        <v>2400</v>
      </c>
      <c r="J492">
        <v>15</v>
      </c>
      <c r="K492">
        <v>26520</v>
      </c>
      <c r="L492" t="s">
        <v>42</v>
      </c>
      <c r="M492" s="2">
        <f>Table1[[#This Row],[Revenue_INR]]-Table1[[#This Row],[Price_INR]]</f>
        <v>24120</v>
      </c>
      <c r="N492">
        <f>YEAR(Table1[[#This Row],[Date]])</f>
        <v>2024</v>
      </c>
      <c r="O492" s="2">
        <f t="shared" si="28"/>
        <v>2040</v>
      </c>
      <c r="P492" s="7">
        <f t="shared" si="29"/>
        <v>90.950226244343895</v>
      </c>
      <c r="Q492" s="2">
        <f t="shared" si="30"/>
        <v>4680</v>
      </c>
      <c r="R492" s="5" t="str">
        <f t="shared" si="31"/>
        <v>Above Average</v>
      </c>
      <c r="S492" s="5" t="str">
        <f>Table1[[#This Row],[Quarter]]&amp;" - "&amp;Table1[[#This Row],[City]]</f>
        <v>Q3 - Hyderabad</v>
      </c>
    </row>
    <row r="493" spans="1:19" x14ac:dyDescent="0.3">
      <c r="A493" t="s">
        <v>559</v>
      </c>
      <c r="B493" s="1">
        <v>45478</v>
      </c>
      <c r="C493" t="s">
        <v>546</v>
      </c>
      <c r="D493" t="s">
        <v>547</v>
      </c>
      <c r="E493" t="s">
        <v>15</v>
      </c>
      <c r="F493" t="s">
        <v>31</v>
      </c>
      <c r="G493" t="s">
        <v>131</v>
      </c>
      <c r="H493">
        <v>11</v>
      </c>
      <c r="I493">
        <v>1370</v>
      </c>
      <c r="J493">
        <v>15</v>
      </c>
      <c r="K493">
        <v>12809.5</v>
      </c>
      <c r="L493" t="s">
        <v>18</v>
      </c>
      <c r="M493" s="2">
        <f>Table1[[#This Row],[Revenue_INR]]-Table1[[#This Row],[Price_INR]]</f>
        <v>11439.5</v>
      </c>
      <c r="N493">
        <f>YEAR(Table1[[#This Row],[Date]])</f>
        <v>2024</v>
      </c>
      <c r="O493" s="2">
        <f t="shared" si="28"/>
        <v>1164.5</v>
      </c>
      <c r="P493" s="7">
        <f t="shared" si="29"/>
        <v>89.304812834224606</v>
      </c>
      <c r="Q493" s="2">
        <f t="shared" si="30"/>
        <v>2260.5</v>
      </c>
      <c r="R493" s="5" t="str">
        <f t="shared" si="31"/>
        <v>Below Average</v>
      </c>
      <c r="S493" s="5" t="str">
        <f>Table1[[#This Row],[Quarter]]&amp;" - "&amp;Table1[[#This Row],[City]]</f>
        <v>Q3 - Kolkata</v>
      </c>
    </row>
    <row r="494" spans="1:19" x14ac:dyDescent="0.3">
      <c r="A494" t="s">
        <v>560</v>
      </c>
      <c r="B494" s="1">
        <v>45478</v>
      </c>
      <c r="C494" t="s">
        <v>546</v>
      </c>
      <c r="D494" t="s">
        <v>547</v>
      </c>
      <c r="E494" t="s">
        <v>20</v>
      </c>
      <c r="F494" t="s">
        <v>21</v>
      </c>
      <c r="G494" t="s">
        <v>75</v>
      </c>
      <c r="H494">
        <v>8</v>
      </c>
      <c r="I494">
        <v>1830</v>
      </c>
      <c r="J494">
        <v>25</v>
      </c>
      <c r="K494">
        <v>10980</v>
      </c>
      <c r="L494" t="s">
        <v>39</v>
      </c>
      <c r="M494" s="2">
        <f>Table1[[#This Row],[Revenue_INR]]-Table1[[#This Row],[Price_INR]]</f>
        <v>9150</v>
      </c>
      <c r="N494">
        <f>YEAR(Table1[[#This Row],[Date]])</f>
        <v>2024</v>
      </c>
      <c r="O494" s="2">
        <f t="shared" si="28"/>
        <v>1372.5</v>
      </c>
      <c r="P494" s="7">
        <f t="shared" si="29"/>
        <v>83.333333333333343</v>
      </c>
      <c r="Q494" s="2">
        <f t="shared" si="30"/>
        <v>3660</v>
      </c>
      <c r="R494" s="5" t="str">
        <f t="shared" si="31"/>
        <v>Below Average</v>
      </c>
      <c r="S494" s="5" t="str">
        <f>Table1[[#This Row],[Quarter]]&amp;" - "&amp;Table1[[#This Row],[City]]</f>
        <v>Q3 - Mumbai</v>
      </c>
    </row>
    <row r="495" spans="1:19" x14ac:dyDescent="0.3">
      <c r="A495" t="s">
        <v>561</v>
      </c>
      <c r="B495" s="1">
        <v>45478</v>
      </c>
      <c r="C495" t="s">
        <v>546</v>
      </c>
      <c r="D495" t="s">
        <v>547</v>
      </c>
      <c r="E495" t="s">
        <v>15</v>
      </c>
      <c r="F495" t="s">
        <v>47</v>
      </c>
      <c r="G495" t="s">
        <v>51</v>
      </c>
      <c r="H495">
        <v>13</v>
      </c>
      <c r="I495">
        <v>4930</v>
      </c>
      <c r="J495">
        <v>10</v>
      </c>
      <c r="K495">
        <v>57681</v>
      </c>
      <c r="L495" t="s">
        <v>53</v>
      </c>
      <c r="M495" s="2">
        <f>Table1[[#This Row],[Revenue_INR]]-Table1[[#This Row],[Price_INR]]</f>
        <v>52751</v>
      </c>
      <c r="N495">
        <f>YEAR(Table1[[#This Row],[Date]])</f>
        <v>2024</v>
      </c>
      <c r="O495" s="2">
        <f t="shared" si="28"/>
        <v>4437</v>
      </c>
      <c r="P495" s="7">
        <f t="shared" si="29"/>
        <v>91.452991452991455</v>
      </c>
      <c r="Q495" s="2">
        <f t="shared" si="30"/>
        <v>6409</v>
      </c>
      <c r="R495" s="5" t="str">
        <f t="shared" si="31"/>
        <v>Above Average</v>
      </c>
      <c r="S495" s="5" t="str">
        <f>Table1[[#This Row],[Quarter]]&amp;" - "&amp;Table1[[#This Row],[City]]</f>
        <v>Q3 - Kolkata</v>
      </c>
    </row>
    <row r="496" spans="1:19" x14ac:dyDescent="0.3">
      <c r="A496" t="s">
        <v>562</v>
      </c>
      <c r="B496" s="1">
        <v>45478</v>
      </c>
      <c r="C496" t="s">
        <v>546</v>
      </c>
      <c r="D496" t="s">
        <v>547</v>
      </c>
      <c r="E496" t="s">
        <v>20</v>
      </c>
      <c r="F496" t="s">
        <v>21</v>
      </c>
      <c r="G496" t="s">
        <v>22</v>
      </c>
      <c r="H496">
        <v>14</v>
      </c>
      <c r="I496">
        <v>2890</v>
      </c>
      <c r="J496">
        <v>20</v>
      </c>
      <c r="K496">
        <v>32368</v>
      </c>
      <c r="L496" t="s">
        <v>39</v>
      </c>
      <c r="M496" s="2">
        <f>Table1[[#This Row],[Revenue_INR]]-Table1[[#This Row],[Price_INR]]</f>
        <v>29478</v>
      </c>
      <c r="N496">
        <f>YEAR(Table1[[#This Row],[Date]])</f>
        <v>2024</v>
      </c>
      <c r="O496" s="2">
        <f t="shared" si="28"/>
        <v>2312</v>
      </c>
      <c r="P496" s="7">
        <f t="shared" si="29"/>
        <v>91.071428571428569</v>
      </c>
      <c r="Q496" s="2">
        <f t="shared" si="30"/>
        <v>8092</v>
      </c>
      <c r="R496" s="5" t="str">
        <f t="shared" si="31"/>
        <v>Above Average</v>
      </c>
      <c r="S496" s="5" t="str">
        <f>Table1[[#This Row],[Quarter]]&amp;" - "&amp;Table1[[#This Row],[City]]</f>
        <v>Q3 - Mumbai</v>
      </c>
    </row>
    <row r="497" spans="1:19" x14ac:dyDescent="0.3">
      <c r="A497" t="s">
        <v>563</v>
      </c>
      <c r="B497" s="1">
        <v>45478</v>
      </c>
      <c r="C497" t="s">
        <v>546</v>
      </c>
      <c r="D497" t="s">
        <v>547</v>
      </c>
      <c r="E497" t="s">
        <v>34</v>
      </c>
      <c r="F497" t="s">
        <v>21</v>
      </c>
      <c r="G497" t="s">
        <v>71</v>
      </c>
      <c r="H497">
        <v>2</v>
      </c>
      <c r="I497">
        <v>2150</v>
      </c>
      <c r="J497">
        <v>15</v>
      </c>
      <c r="K497">
        <v>3655</v>
      </c>
      <c r="L497" t="s">
        <v>36</v>
      </c>
      <c r="M497" s="2">
        <f>Table1[[#This Row],[Revenue_INR]]-Table1[[#This Row],[Price_INR]]</f>
        <v>1505</v>
      </c>
      <c r="N497">
        <f>YEAR(Table1[[#This Row],[Date]])</f>
        <v>2024</v>
      </c>
      <c r="O497" s="2">
        <f t="shared" si="28"/>
        <v>1827.5</v>
      </c>
      <c r="P497" s="7">
        <f t="shared" si="29"/>
        <v>41.17647058823529</v>
      </c>
      <c r="Q497" s="2">
        <f t="shared" si="30"/>
        <v>645</v>
      </c>
      <c r="R497" s="5" t="str">
        <f t="shared" si="31"/>
        <v>Below Average</v>
      </c>
      <c r="S497" s="5" t="str">
        <f>Table1[[#This Row],[Quarter]]&amp;" - "&amp;Table1[[#This Row],[City]]</f>
        <v>Q3 - Delhi</v>
      </c>
    </row>
    <row r="498" spans="1:19" x14ac:dyDescent="0.3">
      <c r="A498" t="s">
        <v>564</v>
      </c>
      <c r="B498" s="1">
        <v>45479</v>
      </c>
      <c r="C498" t="s">
        <v>546</v>
      </c>
      <c r="D498" t="s">
        <v>547</v>
      </c>
      <c r="E498" t="s">
        <v>20</v>
      </c>
      <c r="F498" t="s">
        <v>26</v>
      </c>
      <c r="G498" t="s">
        <v>80</v>
      </c>
      <c r="H498">
        <v>9</v>
      </c>
      <c r="I498">
        <v>4580</v>
      </c>
      <c r="J498">
        <v>30</v>
      </c>
      <c r="K498">
        <v>28854</v>
      </c>
      <c r="L498" t="s">
        <v>77</v>
      </c>
      <c r="M498" s="2">
        <f>Table1[[#This Row],[Revenue_INR]]-Table1[[#This Row],[Price_INR]]</f>
        <v>24274</v>
      </c>
      <c r="N498">
        <f>YEAR(Table1[[#This Row],[Date]])</f>
        <v>2024</v>
      </c>
      <c r="O498" s="2">
        <f t="shared" si="28"/>
        <v>3206</v>
      </c>
      <c r="P498" s="7">
        <f t="shared" si="29"/>
        <v>84.126984126984127</v>
      </c>
      <c r="Q498" s="2">
        <f t="shared" si="30"/>
        <v>12366</v>
      </c>
      <c r="R498" s="5" t="str">
        <f t="shared" si="31"/>
        <v>Above Average</v>
      </c>
      <c r="S498" s="5" t="str">
        <f>Table1[[#This Row],[Quarter]]&amp;" - "&amp;Table1[[#This Row],[City]]</f>
        <v>Q3 - Mumbai</v>
      </c>
    </row>
    <row r="499" spans="1:19" x14ac:dyDescent="0.3">
      <c r="A499" t="s">
        <v>565</v>
      </c>
      <c r="B499" s="1">
        <v>45479</v>
      </c>
      <c r="C499" t="s">
        <v>546</v>
      </c>
      <c r="D499" t="s">
        <v>547</v>
      </c>
      <c r="E499" t="s">
        <v>34</v>
      </c>
      <c r="F499" t="s">
        <v>21</v>
      </c>
      <c r="G499" t="s">
        <v>94</v>
      </c>
      <c r="H499">
        <v>10</v>
      </c>
      <c r="I499">
        <v>2070</v>
      </c>
      <c r="J499">
        <v>10</v>
      </c>
      <c r="K499">
        <v>18630</v>
      </c>
      <c r="L499" t="s">
        <v>45</v>
      </c>
      <c r="M499" s="2">
        <f>Table1[[#This Row],[Revenue_INR]]-Table1[[#This Row],[Price_INR]]</f>
        <v>16560</v>
      </c>
      <c r="N499">
        <f>YEAR(Table1[[#This Row],[Date]])</f>
        <v>2024</v>
      </c>
      <c r="O499" s="2">
        <f t="shared" si="28"/>
        <v>1863</v>
      </c>
      <c r="P499" s="7">
        <f t="shared" si="29"/>
        <v>88.888888888888886</v>
      </c>
      <c r="Q499" s="2">
        <f t="shared" si="30"/>
        <v>2070</v>
      </c>
      <c r="R499" s="5" t="str">
        <f t="shared" si="31"/>
        <v>Below Average</v>
      </c>
      <c r="S499" s="5" t="str">
        <f>Table1[[#This Row],[Quarter]]&amp;" - "&amp;Table1[[#This Row],[City]]</f>
        <v>Q3 - Delhi</v>
      </c>
    </row>
    <row r="500" spans="1:19" x14ac:dyDescent="0.3">
      <c r="A500" t="s">
        <v>566</v>
      </c>
      <c r="B500" s="1">
        <v>45479</v>
      </c>
      <c r="C500" t="s">
        <v>546</v>
      </c>
      <c r="D500" t="s">
        <v>547</v>
      </c>
      <c r="E500" t="s">
        <v>25</v>
      </c>
      <c r="F500" t="s">
        <v>16</v>
      </c>
      <c r="G500" t="s">
        <v>17</v>
      </c>
      <c r="H500">
        <v>9</v>
      </c>
      <c r="I500">
        <v>1410</v>
      </c>
      <c r="J500">
        <v>20</v>
      </c>
      <c r="K500">
        <v>10152</v>
      </c>
      <c r="L500" t="s">
        <v>42</v>
      </c>
      <c r="M500" s="2">
        <f>Table1[[#This Row],[Revenue_INR]]-Table1[[#This Row],[Price_INR]]</f>
        <v>8742</v>
      </c>
      <c r="N500">
        <f>YEAR(Table1[[#This Row],[Date]])</f>
        <v>2024</v>
      </c>
      <c r="O500" s="2">
        <f t="shared" si="28"/>
        <v>1128</v>
      </c>
      <c r="P500" s="7">
        <f t="shared" si="29"/>
        <v>86.111111111111114</v>
      </c>
      <c r="Q500" s="2">
        <f t="shared" si="30"/>
        <v>2538</v>
      </c>
      <c r="R500" s="5" t="str">
        <f t="shared" si="31"/>
        <v>Below Average</v>
      </c>
      <c r="S500" s="5" t="str">
        <f>Table1[[#This Row],[Quarter]]&amp;" - "&amp;Table1[[#This Row],[City]]</f>
        <v>Q3 - Hyderabad</v>
      </c>
    </row>
    <row r="501" spans="1:19" x14ac:dyDescent="0.3">
      <c r="A501" t="s">
        <v>567</v>
      </c>
      <c r="B501" s="1">
        <v>45479</v>
      </c>
      <c r="C501" t="s">
        <v>546</v>
      </c>
      <c r="D501" t="s">
        <v>547</v>
      </c>
      <c r="E501" t="s">
        <v>15</v>
      </c>
      <c r="F501" t="s">
        <v>26</v>
      </c>
      <c r="G501" t="s">
        <v>82</v>
      </c>
      <c r="H501">
        <v>8</v>
      </c>
      <c r="I501">
        <v>10750</v>
      </c>
      <c r="J501">
        <v>10</v>
      </c>
      <c r="K501">
        <v>77400</v>
      </c>
      <c r="L501" t="s">
        <v>53</v>
      </c>
      <c r="M501" s="2">
        <f>Table1[[#This Row],[Revenue_INR]]-Table1[[#This Row],[Price_INR]]</f>
        <v>66650</v>
      </c>
      <c r="N501">
        <f>YEAR(Table1[[#This Row],[Date]])</f>
        <v>2024</v>
      </c>
      <c r="O501" s="2">
        <f t="shared" si="28"/>
        <v>9675</v>
      </c>
      <c r="P501" s="7">
        <f t="shared" si="29"/>
        <v>86.111111111111114</v>
      </c>
      <c r="Q501" s="2">
        <f t="shared" si="30"/>
        <v>8600</v>
      </c>
      <c r="R501" s="5" t="str">
        <f t="shared" si="31"/>
        <v>Above Average</v>
      </c>
      <c r="S501" s="5" t="str">
        <f>Table1[[#This Row],[Quarter]]&amp;" - "&amp;Table1[[#This Row],[City]]</f>
        <v>Q3 - Kolkata</v>
      </c>
    </row>
    <row r="502" spans="1:19" x14ac:dyDescent="0.3">
      <c r="A502" t="s">
        <v>568</v>
      </c>
      <c r="B502" s="1">
        <v>45480</v>
      </c>
      <c r="C502" t="s">
        <v>546</v>
      </c>
      <c r="D502" t="s">
        <v>547</v>
      </c>
      <c r="E502" t="s">
        <v>25</v>
      </c>
      <c r="F502" t="s">
        <v>21</v>
      </c>
      <c r="G502" t="s">
        <v>71</v>
      </c>
      <c r="H502">
        <v>9</v>
      </c>
      <c r="I502">
        <v>870</v>
      </c>
      <c r="J502">
        <v>20</v>
      </c>
      <c r="K502">
        <v>6264</v>
      </c>
      <c r="L502" t="s">
        <v>28</v>
      </c>
      <c r="M502" s="2">
        <f>Table1[[#This Row],[Revenue_INR]]-Table1[[#This Row],[Price_INR]]</f>
        <v>5394</v>
      </c>
      <c r="N502">
        <f>YEAR(Table1[[#This Row],[Date]])</f>
        <v>2024</v>
      </c>
      <c r="O502" s="2">
        <f t="shared" si="28"/>
        <v>696</v>
      </c>
      <c r="P502" s="7">
        <f t="shared" si="29"/>
        <v>86.111111111111114</v>
      </c>
      <c r="Q502" s="2">
        <f t="shared" si="30"/>
        <v>1566</v>
      </c>
      <c r="R502" s="5" t="str">
        <f t="shared" si="31"/>
        <v>Below Average</v>
      </c>
      <c r="S502" s="5" t="str">
        <f>Table1[[#This Row],[Quarter]]&amp;" - "&amp;Table1[[#This Row],[City]]</f>
        <v>Q3 - Hyderabad</v>
      </c>
    </row>
    <row r="503" spans="1:19" x14ac:dyDescent="0.3">
      <c r="A503" t="s">
        <v>569</v>
      </c>
      <c r="B503" s="1">
        <v>45481</v>
      </c>
      <c r="C503" t="s">
        <v>546</v>
      </c>
      <c r="D503" t="s">
        <v>547</v>
      </c>
      <c r="E503" t="s">
        <v>25</v>
      </c>
      <c r="F503" t="s">
        <v>31</v>
      </c>
      <c r="G503" t="s">
        <v>32</v>
      </c>
      <c r="H503">
        <v>2</v>
      </c>
      <c r="I503">
        <v>2650</v>
      </c>
      <c r="J503">
        <v>15</v>
      </c>
      <c r="K503">
        <v>4505</v>
      </c>
      <c r="L503" t="s">
        <v>42</v>
      </c>
      <c r="M503" s="2">
        <f>Table1[[#This Row],[Revenue_INR]]-Table1[[#This Row],[Price_INR]]</f>
        <v>1855</v>
      </c>
      <c r="N503">
        <f>YEAR(Table1[[#This Row],[Date]])</f>
        <v>2024</v>
      </c>
      <c r="O503" s="2">
        <f t="shared" si="28"/>
        <v>2252.5</v>
      </c>
      <c r="P503" s="7">
        <f t="shared" si="29"/>
        <v>41.17647058823529</v>
      </c>
      <c r="Q503" s="2">
        <f t="shared" si="30"/>
        <v>795</v>
      </c>
      <c r="R503" s="5" t="str">
        <f t="shared" si="31"/>
        <v>Below Average</v>
      </c>
      <c r="S503" s="5" t="str">
        <f>Table1[[#This Row],[Quarter]]&amp;" - "&amp;Table1[[#This Row],[City]]</f>
        <v>Q3 - Hyderabad</v>
      </c>
    </row>
    <row r="504" spans="1:19" x14ac:dyDescent="0.3">
      <c r="A504" t="s">
        <v>570</v>
      </c>
      <c r="B504" s="1">
        <v>45481</v>
      </c>
      <c r="C504" t="s">
        <v>546</v>
      </c>
      <c r="D504" t="s">
        <v>547</v>
      </c>
      <c r="E504" t="s">
        <v>20</v>
      </c>
      <c r="F504" t="s">
        <v>16</v>
      </c>
      <c r="G504" t="s">
        <v>41</v>
      </c>
      <c r="H504">
        <v>15</v>
      </c>
      <c r="I504">
        <v>800</v>
      </c>
      <c r="J504">
        <v>15</v>
      </c>
      <c r="K504">
        <v>10200</v>
      </c>
      <c r="L504" t="s">
        <v>39</v>
      </c>
      <c r="M504" s="2">
        <f>Table1[[#This Row],[Revenue_INR]]-Table1[[#This Row],[Price_INR]]</f>
        <v>9400</v>
      </c>
      <c r="N504">
        <f>YEAR(Table1[[#This Row],[Date]])</f>
        <v>2024</v>
      </c>
      <c r="O504" s="2">
        <f t="shared" si="28"/>
        <v>680</v>
      </c>
      <c r="P504" s="7">
        <f t="shared" si="29"/>
        <v>92.156862745098039</v>
      </c>
      <c r="Q504" s="2">
        <f t="shared" si="30"/>
        <v>1800</v>
      </c>
      <c r="R504" s="5" t="str">
        <f t="shared" si="31"/>
        <v>Below Average</v>
      </c>
      <c r="S504" s="5" t="str">
        <f>Table1[[#This Row],[Quarter]]&amp;" - "&amp;Table1[[#This Row],[City]]</f>
        <v>Q3 - Mumbai</v>
      </c>
    </row>
    <row r="505" spans="1:19" x14ac:dyDescent="0.3">
      <c r="A505" t="s">
        <v>571</v>
      </c>
      <c r="B505" s="1">
        <v>45481</v>
      </c>
      <c r="C505" t="s">
        <v>546</v>
      </c>
      <c r="D505" t="s">
        <v>547</v>
      </c>
      <c r="E505" t="s">
        <v>15</v>
      </c>
      <c r="F505" t="s">
        <v>26</v>
      </c>
      <c r="G505" t="s">
        <v>58</v>
      </c>
      <c r="H505">
        <v>5</v>
      </c>
      <c r="I505">
        <v>2510</v>
      </c>
      <c r="J505">
        <v>5</v>
      </c>
      <c r="K505">
        <v>11922.5</v>
      </c>
      <c r="L505" t="s">
        <v>92</v>
      </c>
      <c r="M505" s="2">
        <f>Table1[[#This Row],[Revenue_INR]]-Table1[[#This Row],[Price_INR]]</f>
        <v>9412.5</v>
      </c>
      <c r="N505">
        <f>YEAR(Table1[[#This Row],[Date]])</f>
        <v>2024</v>
      </c>
      <c r="O505" s="2">
        <f t="shared" si="28"/>
        <v>2384.5</v>
      </c>
      <c r="P505" s="7">
        <f t="shared" si="29"/>
        <v>78.94736842105263</v>
      </c>
      <c r="Q505" s="2">
        <f t="shared" si="30"/>
        <v>627.5</v>
      </c>
      <c r="R505" s="5" t="str">
        <f t="shared" si="31"/>
        <v>Below Average</v>
      </c>
      <c r="S505" s="5" t="str">
        <f>Table1[[#This Row],[Quarter]]&amp;" - "&amp;Table1[[#This Row],[City]]</f>
        <v>Q3 - Kolkata</v>
      </c>
    </row>
    <row r="506" spans="1:19" x14ac:dyDescent="0.3">
      <c r="A506" t="s">
        <v>572</v>
      </c>
      <c r="B506" s="1">
        <v>45482</v>
      </c>
      <c r="C506" t="s">
        <v>546</v>
      </c>
      <c r="D506" t="s">
        <v>547</v>
      </c>
      <c r="E506" t="s">
        <v>20</v>
      </c>
      <c r="F506" t="s">
        <v>31</v>
      </c>
      <c r="G506" t="s">
        <v>35</v>
      </c>
      <c r="H506">
        <v>15</v>
      </c>
      <c r="I506">
        <v>1430</v>
      </c>
      <c r="J506">
        <v>5</v>
      </c>
      <c r="K506">
        <v>20377.5</v>
      </c>
      <c r="L506" t="s">
        <v>23</v>
      </c>
      <c r="M506" s="2">
        <f>Table1[[#This Row],[Revenue_INR]]-Table1[[#This Row],[Price_INR]]</f>
        <v>18947.5</v>
      </c>
      <c r="N506">
        <f>YEAR(Table1[[#This Row],[Date]])</f>
        <v>2024</v>
      </c>
      <c r="O506" s="2">
        <f t="shared" si="28"/>
        <v>1358.5</v>
      </c>
      <c r="P506" s="7">
        <f t="shared" si="29"/>
        <v>92.982456140350877</v>
      </c>
      <c r="Q506" s="2">
        <f t="shared" si="30"/>
        <v>1072.5</v>
      </c>
      <c r="R506" s="5" t="str">
        <f t="shared" si="31"/>
        <v>Below Average</v>
      </c>
      <c r="S506" s="5" t="str">
        <f>Table1[[#This Row],[Quarter]]&amp;" - "&amp;Table1[[#This Row],[City]]</f>
        <v>Q3 - Mumbai</v>
      </c>
    </row>
    <row r="507" spans="1:19" x14ac:dyDescent="0.3">
      <c r="A507" t="s">
        <v>573</v>
      </c>
      <c r="B507" s="1">
        <v>45482</v>
      </c>
      <c r="C507" t="s">
        <v>546</v>
      </c>
      <c r="D507" t="s">
        <v>547</v>
      </c>
      <c r="E507" t="s">
        <v>25</v>
      </c>
      <c r="F507" t="s">
        <v>31</v>
      </c>
      <c r="G507" t="s">
        <v>131</v>
      </c>
      <c r="H507">
        <v>5</v>
      </c>
      <c r="I507">
        <v>4270</v>
      </c>
      <c r="J507">
        <v>0</v>
      </c>
      <c r="K507">
        <v>21350</v>
      </c>
      <c r="L507" t="s">
        <v>66</v>
      </c>
      <c r="M507" s="2">
        <f>Table1[[#This Row],[Revenue_INR]]-Table1[[#This Row],[Price_INR]]</f>
        <v>17080</v>
      </c>
      <c r="N507">
        <f>YEAR(Table1[[#This Row],[Date]])</f>
        <v>2024</v>
      </c>
      <c r="O507" s="2">
        <f t="shared" si="28"/>
        <v>4270</v>
      </c>
      <c r="P507" s="7">
        <f t="shared" si="29"/>
        <v>80</v>
      </c>
      <c r="Q507" s="2">
        <f t="shared" si="30"/>
        <v>0</v>
      </c>
      <c r="R507" s="5" t="str">
        <f t="shared" si="31"/>
        <v>Below Average</v>
      </c>
      <c r="S507" s="5" t="str">
        <f>Table1[[#This Row],[Quarter]]&amp;" - "&amp;Table1[[#This Row],[City]]</f>
        <v>Q3 - Hyderabad</v>
      </c>
    </row>
    <row r="508" spans="1:19" x14ac:dyDescent="0.3">
      <c r="A508" t="s">
        <v>574</v>
      </c>
      <c r="B508" s="1">
        <v>45483</v>
      </c>
      <c r="C508" t="s">
        <v>546</v>
      </c>
      <c r="D508" t="s">
        <v>547</v>
      </c>
      <c r="E508" t="s">
        <v>15</v>
      </c>
      <c r="F508" t="s">
        <v>26</v>
      </c>
      <c r="G508" t="s">
        <v>80</v>
      </c>
      <c r="H508">
        <v>11</v>
      </c>
      <c r="I508">
        <v>1580</v>
      </c>
      <c r="J508">
        <v>30</v>
      </c>
      <c r="K508">
        <v>12166</v>
      </c>
      <c r="L508" t="s">
        <v>18</v>
      </c>
      <c r="M508" s="2">
        <f>Table1[[#This Row],[Revenue_INR]]-Table1[[#This Row],[Price_INR]]</f>
        <v>10586</v>
      </c>
      <c r="N508">
        <f>YEAR(Table1[[#This Row],[Date]])</f>
        <v>2024</v>
      </c>
      <c r="O508" s="2">
        <f t="shared" si="28"/>
        <v>1106</v>
      </c>
      <c r="P508" s="7">
        <f t="shared" si="29"/>
        <v>87.012987012987011</v>
      </c>
      <c r="Q508" s="2">
        <f t="shared" si="30"/>
        <v>5214</v>
      </c>
      <c r="R508" s="5" t="str">
        <f t="shared" si="31"/>
        <v>Below Average</v>
      </c>
      <c r="S508" s="5" t="str">
        <f>Table1[[#This Row],[Quarter]]&amp;" - "&amp;Table1[[#This Row],[City]]</f>
        <v>Q3 - Kolkata</v>
      </c>
    </row>
    <row r="509" spans="1:19" x14ac:dyDescent="0.3">
      <c r="A509" t="s">
        <v>575</v>
      </c>
      <c r="B509" s="1">
        <v>45483</v>
      </c>
      <c r="C509" t="s">
        <v>546</v>
      </c>
      <c r="D509" t="s">
        <v>547</v>
      </c>
      <c r="E509" t="s">
        <v>15</v>
      </c>
      <c r="F509" t="s">
        <v>47</v>
      </c>
      <c r="G509" t="s">
        <v>55</v>
      </c>
      <c r="H509">
        <v>4</v>
      </c>
      <c r="I509">
        <v>2260</v>
      </c>
      <c r="J509">
        <v>25</v>
      </c>
      <c r="K509">
        <v>6780</v>
      </c>
      <c r="L509" t="s">
        <v>92</v>
      </c>
      <c r="M509" s="2">
        <f>Table1[[#This Row],[Revenue_INR]]-Table1[[#This Row],[Price_INR]]</f>
        <v>4520</v>
      </c>
      <c r="N509">
        <f>YEAR(Table1[[#This Row],[Date]])</f>
        <v>2024</v>
      </c>
      <c r="O509" s="2">
        <f t="shared" si="28"/>
        <v>1695</v>
      </c>
      <c r="P509" s="7">
        <f t="shared" si="29"/>
        <v>66.666666666666657</v>
      </c>
      <c r="Q509" s="2">
        <f t="shared" si="30"/>
        <v>2260</v>
      </c>
      <c r="R509" s="5" t="str">
        <f t="shared" si="31"/>
        <v>Below Average</v>
      </c>
      <c r="S509" s="5" t="str">
        <f>Table1[[#This Row],[Quarter]]&amp;" - "&amp;Table1[[#This Row],[City]]</f>
        <v>Q3 - Kolkata</v>
      </c>
    </row>
    <row r="510" spans="1:19" x14ac:dyDescent="0.3">
      <c r="A510" t="s">
        <v>576</v>
      </c>
      <c r="B510" s="1">
        <v>45484</v>
      </c>
      <c r="C510" t="s">
        <v>546</v>
      </c>
      <c r="D510" t="s">
        <v>547</v>
      </c>
      <c r="E510" t="s">
        <v>34</v>
      </c>
      <c r="F510" t="s">
        <v>16</v>
      </c>
      <c r="G510" t="s">
        <v>17</v>
      </c>
      <c r="H510">
        <v>10</v>
      </c>
      <c r="I510">
        <v>1860</v>
      </c>
      <c r="J510">
        <v>5</v>
      </c>
      <c r="K510">
        <v>17670</v>
      </c>
      <c r="L510" t="s">
        <v>36</v>
      </c>
      <c r="M510" s="2">
        <f>Table1[[#This Row],[Revenue_INR]]-Table1[[#This Row],[Price_INR]]</f>
        <v>15810</v>
      </c>
      <c r="N510">
        <f>YEAR(Table1[[#This Row],[Date]])</f>
        <v>2024</v>
      </c>
      <c r="O510" s="2">
        <f t="shared" si="28"/>
        <v>1767</v>
      </c>
      <c r="P510" s="7">
        <f t="shared" si="29"/>
        <v>89.473684210526315</v>
      </c>
      <c r="Q510" s="2">
        <f t="shared" si="30"/>
        <v>930</v>
      </c>
      <c r="R510" s="5" t="str">
        <f t="shared" si="31"/>
        <v>Below Average</v>
      </c>
      <c r="S510" s="5" t="str">
        <f>Table1[[#This Row],[Quarter]]&amp;" - "&amp;Table1[[#This Row],[City]]</f>
        <v>Q3 - Delhi</v>
      </c>
    </row>
    <row r="511" spans="1:19" x14ac:dyDescent="0.3">
      <c r="A511" t="s">
        <v>577</v>
      </c>
      <c r="B511" s="1">
        <v>45484</v>
      </c>
      <c r="C511" t="s">
        <v>546</v>
      </c>
      <c r="D511" t="s">
        <v>547</v>
      </c>
      <c r="E511" t="s">
        <v>15</v>
      </c>
      <c r="F511" t="s">
        <v>31</v>
      </c>
      <c r="G511" t="s">
        <v>35</v>
      </c>
      <c r="H511">
        <v>15</v>
      </c>
      <c r="I511">
        <v>3240</v>
      </c>
      <c r="J511">
        <v>15</v>
      </c>
      <c r="K511">
        <v>41310</v>
      </c>
      <c r="L511" t="s">
        <v>92</v>
      </c>
      <c r="M511" s="2">
        <f>Table1[[#This Row],[Revenue_INR]]-Table1[[#This Row],[Price_INR]]</f>
        <v>38070</v>
      </c>
      <c r="N511">
        <f>YEAR(Table1[[#This Row],[Date]])</f>
        <v>2024</v>
      </c>
      <c r="O511" s="2">
        <f t="shared" si="28"/>
        <v>2754</v>
      </c>
      <c r="P511" s="7">
        <f t="shared" si="29"/>
        <v>92.156862745098039</v>
      </c>
      <c r="Q511" s="2">
        <f t="shared" si="30"/>
        <v>7290</v>
      </c>
      <c r="R511" s="5" t="str">
        <f t="shared" si="31"/>
        <v>Above Average</v>
      </c>
      <c r="S511" s="5" t="str">
        <f>Table1[[#This Row],[Quarter]]&amp;" - "&amp;Table1[[#This Row],[City]]</f>
        <v>Q3 - Kolkata</v>
      </c>
    </row>
    <row r="512" spans="1:19" x14ac:dyDescent="0.3">
      <c r="A512" t="s">
        <v>578</v>
      </c>
      <c r="B512" s="1">
        <v>45486</v>
      </c>
      <c r="C512" t="s">
        <v>546</v>
      </c>
      <c r="D512" t="s">
        <v>547</v>
      </c>
      <c r="E512" t="s">
        <v>15</v>
      </c>
      <c r="F512" t="s">
        <v>47</v>
      </c>
      <c r="G512" t="s">
        <v>55</v>
      </c>
      <c r="H512">
        <v>13</v>
      </c>
      <c r="I512">
        <v>8000</v>
      </c>
      <c r="J512">
        <v>20</v>
      </c>
      <c r="K512">
        <v>83200</v>
      </c>
      <c r="L512" t="s">
        <v>53</v>
      </c>
      <c r="M512" s="2">
        <f>Table1[[#This Row],[Revenue_INR]]-Table1[[#This Row],[Price_INR]]</f>
        <v>75200</v>
      </c>
      <c r="N512">
        <f>YEAR(Table1[[#This Row],[Date]])</f>
        <v>2024</v>
      </c>
      <c r="O512" s="2">
        <f t="shared" si="28"/>
        <v>6400</v>
      </c>
      <c r="P512" s="7">
        <f t="shared" si="29"/>
        <v>90.384615384615387</v>
      </c>
      <c r="Q512" s="2">
        <f t="shared" si="30"/>
        <v>20800</v>
      </c>
      <c r="R512" s="5" t="str">
        <f t="shared" si="31"/>
        <v>Above Average</v>
      </c>
      <c r="S512" s="5" t="str">
        <f>Table1[[#This Row],[Quarter]]&amp;" - "&amp;Table1[[#This Row],[City]]</f>
        <v>Q3 - Kolkata</v>
      </c>
    </row>
    <row r="513" spans="1:19" x14ac:dyDescent="0.3">
      <c r="A513" t="s">
        <v>579</v>
      </c>
      <c r="B513" s="1">
        <v>45486</v>
      </c>
      <c r="C513" t="s">
        <v>546</v>
      </c>
      <c r="D513" t="s">
        <v>547</v>
      </c>
      <c r="E513" t="s">
        <v>20</v>
      </c>
      <c r="F513" t="s">
        <v>60</v>
      </c>
      <c r="G513" t="s">
        <v>124</v>
      </c>
      <c r="H513">
        <v>3</v>
      </c>
      <c r="I513">
        <v>2020</v>
      </c>
      <c r="J513">
        <v>5</v>
      </c>
      <c r="K513">
        <v>5757</v>
      </c>
      <c r="L513" t="s">
        <v>77</v>
      </c>
      <c r="M513" s="2">
        <f>Table1[[#This Row],[Revenue_INR]]-Table1[[#This Row],[Price_INR]]</f>
        <v>3737</v>
      </c>
      <c r="N513">
        <f>YEAR(Table1[[#This Row],[Date]])</f>
        <v>2024</v>
      </c>
      <c r="O513" s="2">
        <f t="shared" si="28"/>
        <v>1919</v>
      </c>
      <c r="P513" s="7">
        <f t="shared" si="29"/>
        <v>64.912280701754383</v>
      </c>
      <c r="Q513" s="2">
        <f t="shared" si="30"/>
        <v>303</v>
      </c>
      <c r="R513" s="5" t="str">
        <f t="shared" si="31"/>
        <v>Below Average</v>
      </c>
      <c r="S513" s="5" t="str">
        <f>Table1[[#This Row],[Quarter]]&amp;" - "&amp;Table1[[#This Row],[City]]</f>
        <v>Q3 - Mumbai</v>
      </c>
    </row>
    <row r="514" spans="1:19" x14ac:dyDescent="0.3">
      <c r="A514" t="s">
        <v>580</v>
      </c>
      <c r="B514" s="1">
        <v>45486</v>
      </c>
      <c r="C514" t="s">
        <v>546</v>
      </c>
      <c r="D514" t="s">
        <v>547</v>
      </c>
      <c r="E514" t="s">
        <v>25</v>
      </c>
      <c r="F514" t="s">
        <v>47</v>
      </c>
      <c r="G514" t="s">
        <v>51</v>
      </c>
      <c r="H514">
        <v>13</v>
      </c>
      <c r="I514">
        <v>5860</v>
      </c>
      <c r="J514">
        <v>10</v>
      </c>
      <c r="K514">
        <v>68562</v>
      </c>
      <c r="L514" t="s">
        <v>28</v>
      </c>
      <c r="M514" s="2">
        <f>Table1[[#This Row],[Revenue_INR]]-Table1[[#This Row],[Price_INR]]</f>
        <v>62702</v>
      </c>
      <c r="N514">
        <f>YEAR(Table1[[#This Row],[Date]])</f>
        <v>2024</v>
      </c>
      <c r="O514" s="2">
        <f t="shared" ref="O514:O577" si="32">K514/H514</f>
        <v>5274</v>
      </c>
      <c r="P514" s="7">
        <f t="shared" ref="P514:P577" si="33">M514/K514*100</f>
        <v>91.452991452991455</v>
      </c>
      <c r="Q514" s="2">
        <f t="shared" ref="Q514:Q577" si="34">I514*H514*J514/100</f>
        <v>7618</v>
      </c>
      <c r="R514" s="5" t="str">
        <f t="shared" ref="R514:R577" si="35">IF(K514&gt;AVERAGE($K$2:$K$1001),"Above Average","Below Average")</f>
        <v>Above Average</v>
      </c>
      <c r="S514" s="5" t="str">
        <f>Table1[[#This Row],[Quarter]]&amp;" - "&amp;Table1[[#This Row],[City]]</f>
        <v>Q3 - Hyderabad</v>
      </c>
    </row>
    <row r="515" spans="1:19" x14ac:dyDescent="0.3">
      <c r="A515" t="s">
        <v>581</v>
      </c>
      <c r="B515" s="1">
        <v>45487</v>
      </c>
      <c r="C515" t="s">
        <v>546</v>
      </c>
      <c r="D515" t="s">
        <v>547</v>
      </c>
      <c r="E515" t="s">
        <v>34</v>
      </c>
      <c r="F515" t="s">
        <v>26</v>
      </c>
      <c r="G515" t="s">
        <v>80</v>
      </c>
      <c r="H515">
        <v>15</v>
      </c>
      <c r="I515">
        <v>4740</v>
      </c>
      <c r="J515">
        <v>15</v>
      </c>
      <c r="K515">
        <v>60435</v>
      </c>
      <c r="L515" t="s">
        <v>49</v>
      </c>
      <c r="M515" s="2">
        <f>Table1[[#This Row],[Revenue_INR]]-Table1[[#This Row],[Price_INR]]</f>
        <v>55695</v>
      </c>
      <c r="N515">
        <f>YEAR(Table1[[#This Row],[Date]])</f>
        <v>2024</v>
      </c>
      <c r="O515" s="2">
        <f t="shared" si="32"/>
        <v>4029</v>
      </c>
      <c r="P515" s="7">
        <f t="shared" si="33"/>
        <v>92.156862745098039</v>
      </c>
      <c r="Q515" s="2">
        <f t="shared" si="34"/>
        <v>10665</v>
      </c>
      <c r="R515" s="5" t="str">
        <f t="shared" si="35"/>
        <v>Above Average</v>
      </c>
      <c r="S515" s="5" t="str">
        <f>Table1[[#This Row],[Quarter]]&amp;" - "&amp;Table1[[#This Row],[City]]</f>
        <v>Q3 - Delhi</v>
      </c>
    </row>
    <row r="516" spans="1:19" x14ac:dyDescent="0.3">
      <c r="A516" t="s">
        <v>582</v>
      </c>
      <c r="B516" s="1">
        <v>45487</v>
      </c>
      <c r="C516" t="s">
        <v>546</v>
      </c>
      <c r="D516" t="s">
        <v>547</v>
      </c>
      <c r="E516" t="s">
        <v>34</v>
      </c>
      <c r="F516" t="s">
        <v>16</v>
      </c>
      <c r="G516" t="s">
        <v>41</v>
      </c>
      <c r="H516">
        <v>5</v>
      </c>
      <c r="I516">
        <v>1550</v>
      </c>
      <c r="J516">
        <v>30</v>
      </c>
      <c r="K516">
        <v>5425</v>
      </c>
      <c r="L516" t="s">
        <v>36</v>
      </c>
      <c r="M516" s="2">
        <f>Table1[[#This Row],[Revenue_INR]]-Table1[[#This Row],[Price_INR]]</f>
        <v>3875</v>
      </c>
      <c r="N516">
        <f>YEAR(Table1[[#This Row],[Date]])</f>
        <v>2024</v>
      </c>
      <c r="O516" s="2">
        <f t="shared" si="32"/>
        <v>1085</v>
      </c>
      <c r="P516" s="7">
        <f t="shared" si="33"/>
        <v>71.428571428571431</v>
      </c>
      <c r="Q516" s="2">
        <f t="shared" si="34"/>
        <v>2325</v>
      </c>
      <c r="R516" s="5" t="str">
        <f t="shared" si="35"/>
        <v>Below Average</v>
      </c>
      <c r="S516" s="5" t="str">
        <f>Table1[[#This Row],[Quarter]]&amp;" - "&amp;Table1[[#This Row],[City]]</f>
        <v>Q3 - Delhi</v>
      </c>
    </row>
    <row r="517" spans="1:19" x14ac:dyDescent="0.3">
      <c r="A517" t="s">
        <v>583</v>
      </c>
      <c r="B517" s="1">
        <v>45487</v>
      </c>
      <c r="C517" t="s">
        <v>546</v>
      </c>
      <c r="D517" t="s">
        <v>547</v>
      </c>
      <c r="E517" t="s">
        <v>25</v>
      </c>
      <c r="F517" t="s">
        <v>47</v>
      </c>
      <c r="G517" t="s">
        <v>55</v>
      </c>
      <c r="H517">
        <v>8</v>
      </c>
      <c r="I517">
        <v>4230</v>
      </c>
      <c r="J517">
        <v>25</v>
      </c>
      <c r="K517">
        <v>25380</v>
      </c>
      <c r="L517" t="s">
        <v>28</v>
      </c>
      <c r="M517" s="2">
        <f>Table1[[#This Row],[Revenue_INR]]-Table1[[#This Row],[Price_INR]]</f>
        <v>21150</v>
      </c>
      <c r="N517">
        <f>YEAR(Table1[[#This Row],[Date]])</f>
        <v>2024</v>
      </c>
      <c r="O517" s="2">
        <f t="shared" si="32"/>
        <v>3172.5</v>
      </c>
      <c r="P517" s="7">
        <f t="shared" si="33"/>
        <v>83.333333333333343</v>
      </c>
      <c r="Q517" s="2">
        <f t="shared" si="34"/>
        <v>8460</v>
      </c>
      <c r="R517" s="5" t="str">
        <f t="shared" si="35"/>
        <v>Above Average</v>
      </c>
      <c r="S517" s="5" t="str">
        <f>Table1[[#This Row],[Quarter]]&amp;" - "&amp;Table1[[#This Row],[City]]</f>
        <v>Q3 - Hyderabad</v>
      </c>
    </row>
    <row r="518" spans="1:19" x14ac:dyDescent="0.3">
      <c r="A518" t="s">
        <v>584</v>
      </c>
      <c r="B518" s="1">
        <v>45487</v>
      </c>
      <c r="C518" t="s">
        <v>546</v>
      </c>
      <c r="D518" t="s">
        <v>547</v>
      </c>
      <c r="E518" t="s">
        <v>20</v>
      </c>
      <c r="F518" t="s">
        <v>26</v>
      </c>
      <c r="G518" t="s">
        <v>27</v>
      </c>
      <c r="H518">
        <v>13</v>
      </c>
      <c r="I518">
        <v>1930</v>
      </c>
      <c r="J518">
        <v>20</v>
      </c>
      <c r="K518">
        <v>20072</v>
      </c>
      <c r="L518" t="s">
        <v>39</v>
      </c>
      <c r="M518" s="2">
        <f>Table1[[#This Row],[Revenue_INR]]-Table1[[#This Row],[Price_INR]]</f>
        <v>18142</v>
      </c>
      <c r="N518">
        <f>YEAR(Table1[[#This Row],[Date]])</f>
        <v>2024</v>
      </c>
      <c r="O518" s="2">
        <f t="shared" si="32"/>
        <v>1544</v>
      </c>
      <c r="P518" s="7">
        <f t="shared" si="33"/>
        <v>90.384615384615387</v>
      </c>
      <c r="Q518" s="2">
        <f t="shared" si="34"/>
        <v>5018</v>
      </c>
      <c r="R518" s="5" t="str">
        <f t="shared" si="35"/>
        <v>Below Average</v>
      </c>
      <c r="S518" s="5" t="str">
        <f>Table1[[#This Row],[Quarter]]&amp;" - "&amp;Table1[[#This Row],[City]]</f>
        <v>Q3 - Mumbai</v>
      </c>
    </row>
    <row r="519" spans="1:19" x14ac:dyDescent="0.3">
      <c r="A519" t="s">
        <v>585</v>
      </c>
      <c r="B519" s="1">
        <v>45488</v>
      </c>
      <c r="C519" t="s">
        <v>546</v>
      </c>
      <c r="D519" t="s">
        <v>547</v>
      </c>
      <c r="E519" t="s">
        <v>25</v>
      </c>
      <c r="F519" t="s">
        <v>60</v>
      </c>
      <c r="G519" t="s">
        <v>85</v>
      </c>
      <c r="H519">
        <v>6</v>
      </c>
      <c r="I519">
        <v>2080</v>
      </c>
      <c r="J519">
        <v>10</v>
      </c>
      <c r="K519">
        <v>11232</v>
      </c>
      <c r="L519" t="s">
        <v>66</v>
      </c>
      <c r="M519" s="2">
        <f>Table1[[#This Row],[Revenue_INR]]-Table1[[#This Row],[Price_INR]]</f>
        <v>9152</v>
      </c>
      <c r="N519">
        <f>YEAR(Table1[[#This Row],[Date]])</f>
        <v>2024</v>
      </c>
      <c r="O519" s="2">
        <f t="shared" si="32"/>
        <v>1872</v>
      </c>
      <c r="P519" s="7">
        <f t="shared" si="33"/>
        <v>81.481481481481481</v>
      </c>
      <c r="Q519" s="2">
        <f t="shared" si="34"/>
        <v>1248</v>
      </c>
      <c r="R519" s="5" t="str">
        <f t="shared" si="35"/>
        <v>Below Average</v>
      </c>
      <c r="S519" s="5" t="str">
        <f>Table1[[#This Row],[Quarter]]&amp;" - "&amp;Table1[[#This Row],[City]]</f>
        <v>Q3 - Hyderabad</v>
      </c>
    </row>
    <row r="520" spans="1:19" x14ac:dyDescent="0.3">
      <c r="A520" t="s">
        <v>586</v>
      </c>
      <c r="B520" s="1">
        <v>45488</v>
      </c>
      <c r="C520" t="s">
        <v>546</v>
      </c>
      <c r="D520" t="s">
        <v>547</v>
      </c>
      <c r="E520" t="s">
        <v>20</v>
      </c>
      <c r="F520" t="s">
        <v>60</v>
      </c>
      <c r="G520" t="s">
        <v>85</v>
      </c>
      <c r="H520">
        <v>10</v>
      </c>
      <c r="I520">
        <v>2030</v>
      </c>
      <c r="J520">
        <v>25</v>
      </c>
      <c r="K520">
        <v>15225</v>
      </c>
      <c r="L520" t="s">
        <v>23</v>
      </c>
      <c r="M520" s="2">
        <f>Table1[[#This Row],[Revenue_INR]]-Table1[[#This Row],[Price_INR]]</f>
        <v>13195</v>
      </c>
      <c r="N520">
        <f>YEAR(Table1[[#This Row],[Date]])</f>
        <v>2024</v>
      </c>
      <c r="O520" s="2">
        <f t="shared" si="32"/>
        <v>1522.5</v>
      </c>
      <c r="P520" s="7">
        <f t="shared" si="33"/>
        <v>86.666666666666671</v>
      </c>
      <c r="Q520" s="2">
        <f t="shared" si="34"/>
        <v>5075</v>
      </c>
      <c r="R520" s="5" t="str">
        <f t="shared" si="35"/>
        <v>Below Average</v>
      </c>
      <c r="S520" s="5" t="str">
        <f>Table1[[#This Row],[Quarter]]&amp;" - "&amp;Table1[[#This Row],[City]]</f>
        <v>Q3 - Mumbai</v>
      </c>
    </row>
    <row r="521" spans="1:19" x14ac:dyDescent="0.3">
      <c r="A521" t="s">
        <v>587</v>
      </c>
      <c r="B521" s="1">
        <v>45488</v>
      </c>
      <c r="C521" t="s">
        <v>546</v>
      </c>
      <c r="D521" t="s">
        <v>547</v>
      </c>
      <c r="E521" t="s">
        <v>20</v>
      </c>
      <c r="F521" t="s">
        <v>31</v>
      </c>
      <c r="G521" t="s">
        <v>131</v>
      </c>
      <c r="H521">
        <v>4</v>
      </c>
      <c r="I521">
        <v>3420</v>
      </c>
      <c r="J521">
        <v>30</v>
      </c>
      <c r="K521">
        <v>9576</v>
      </c>
      <c r="L521" t="s">
        <v>77</v>
      </c>
      <c r="M521" s="2">
        <f>Table1[[#This Row],[Revenue_INR]]-Table1[[#This Row],[Price_INR]]</f>
        <v>6156</v>
      </c>
      <c r="N521">
        <f>YEAR(Table1[[#This Row],[Date]])</f>
        <v>2024</v>
      </c>
      <c r="O521" s="2">
        <f t="shared" si="32"/>
        <v>2394</v>
      </c>
      <c r="P521" s="7">
        <f t="shared" si="33"/>
        <v>64.285714285714292</v>
      </c>
      <c r="Q521" s="2">
        <f t="shared" si="34"/>
        <v>4104</v>
      </c>
      <c r="R521" s="5" t="str">
        <f t="shared" si="35"/>
        <v>Below Average</v>
      </c>
      <c r="S521" s="5" t="str">
        <f>Table1[[#This Row],[Quarter]]&amp;" - "&amp;Table1[[#This Row],[City]]</f>
        <v>Q3 - Mumbai</v>
      </c>
    </row>
    <row r="522" spans="1:19" x14ac:dyDescent="0.3">
      <c r="A522" t="s">
        <v>588</v>
      </c>
      <c r="B522" s="1">
        <v>45488</v>
      </c>
      <c r="C522" t="s">
        <v>546</v>
      </c>
      <c r="D522" t="s">
        <v>547</v>
      </c>
      <c r="E522" t="s">
        <v>25</v>
      </c>
      <c r="F522" t="s">
        <v>16</v>
      </c>
      <c r="G522" t="s">
        <v>44</v>
      </c>
      <c r="H522">
        <v>4</v>
      </c>
      <c r="I522">
        <v>1580</v>
      </c>
      <c r="J522">
        <v>20</v>
      </c>
      <c r="K522">
        <v>5056</v>
      </c>
      <c r="L522" t="s">
        <v>28</v>
      </c>
      <c r="M522" s="2">
        <f>Table1[[#This Row],[Revenue_INR]]-Table1[[#This Row],[Price_INR]]</f>
        <v>3476</v>
      </c>
      <c r="N522">
        <f>YEAR(Table1[[#This Row],[Date]])</f>
        <v>2024</v>
      </c>
      <c r="O522" s="2">
        <f t="shared" si="32"/>
        <v>1264</v>
      </c>
      <c r="P522" s="7">
        <f t="shared" si="33"/>
        <v>68.75</v>
      </c>
      <c r="Q522" s="2">
        <f t="shared" si="34"/>
        <v>1264</v>
      </c>
      <c r="R522" s="5" t="str">
        <f t="shared" si="35"/>
        <v>Below Average</v>
      </c>
      <c r="S522" s="5" t="str">
        <f>Table1[[#This Row],[Quarter]]&amp;" - "&amp;Table1[[#This Row],[City]]</f>
        <v>Q3 - Hyderabad</v>
      </c>
    </row>
    <row r="523" spans="1:19" x14ac:dyDescent="0.3">
      <c r="A523" t="s">
        <v>589</v>
      </c>
      <c r="B523" s="1">
        <v>45488</v>
      </c>
      <c r="C523" t="s">
        <v>546</v>
      </c>
      <c r="D523" t="s">
        <v>547</v>
      </c>
      <c r="E523" t="s">
        <v>25</v>
      </c>
      <c r="F523" t="s">
        <v>26</v>
      </c>
      <c r="G523" t="s">
        <v>82</v>
      </c>
      <c r="H523">
        <v>13</v>
      </c>
      <c r="I523">
        <v>11130</v>
      </c>
      <c r="J523">
        <v>15</v>
      </c>
      <c r="K523">
        <v>122986.5</v>
      </c>
      <c r="L523" t="s">
        <v>42</v>
      </c>
      <c r="M523" s="2">
        <f>Table1[[#This Row],[Revenue_INR]]-Table1[[#This Row],[Price_INR]]</f>
        <v>111856.5</v>
      </c>
      <c r="N523">
        <f>YEAR(Table1[[#This Row],[Date]])</f>
        <v>2024</v>
      </c>
      <c r="O523" s="2">
        <f t="shared" si="32"/>
        <v>9460.5</v>
      </c>
      <c r="P523" s="7">
        <f t="shared" si="33"/>
        <v>90.950226244343895</v>
      </c>
      <c r="Q523" s="2">
        <f t="shared" si="34"/>
        <v>21703.5</v>
      </c>
      <c r="R523" s="5" t="str">
        <f t="shared" si="35"/>
        <v>Above Average</v>
      </c>
      <c r="S523" s="5" t="str">
        <f>Table1[[#This Row],[Quarter]]&amp;" - "&amp;Table1[[#This Row],[City]]</f>
        <v>Q3 - Hyderabad</v>
      </c>
    </row>
    <row r="524" spans="1:19" x14ac:dyDescent="0.3">
      <c r="A524" t="s">
        <v>590</v>
      </c>
      <c r="B524" s="1">
        <v>45489</v>
      </c>
      <c r="C524" t="s">
        <v>546</v>
      </c>
      <c r="D524" t="s">
        <v>547</v>
      </c>
      <c r="E524" t="s">
        <v>25</v>
      </c>
      <c r="F524" t="s">
        <v>60</v>
      </c>
      <c r="G524" t="s">
        <v>99</v>
      </c>
      <c r="H524">
        <v>13</v>
      </c>
      <c r="I524">
        <v>1320</v>
      </c>
      <c r="J524">
        <v>0</v>
      </c>
      <c r="K524">
        <v>17160</v>
      </c>
      <c r="L524" t="s">
        <v>28</v>
      </c>
      <c r="M524" s="2">
        <f>Table1[[#This Row],[Revenue_INR]]-Table1[[#This Row],[Price_INR]]</f>
        <v>15840</v>
      </c>
      <c r="N524">
        <f>YEAR(Table1[[#This Row],[Date]])</f>
        <v>2024</v>
      </c>
      <c r="O524" s="2">
        <f t="shared" si="32"/>
        <v>1320</v>
      </c>
      <c r="P524" s="7">
        <f t="shared" si="33"/>
        <v>92.307692307692307</v>
      </c>
      <c r="Q524" s="2">
        <f t="shared" si="34"/>
        <v>0</v>
      </c>
      <c r="R524" s="5" t="str">
        <f t="shared" si="35"/>
        <v>Below Average</v>
      </c>
      <c r="S524" s="5" t="str">
        <f>Table1[[#This Row],[Quarter]]&amp;" - "&amp;Table1[[#This Row],[City]]</f>
        <v>Q3 - Hyderabad</v>
      </c>
    </row>
    <row r="525" spans="1:19" x14ac:dyDescent="0.3">
      <c r="A525" t="s">
        <v>591</v>
      </c>
      <c r="B525" s="1">
        <v>45489</v>
      </c>
      <c r="C525" t="s">
        <v>546</v>
      </c>
      <c r="D525" t="s">
        <v>547</v>
      </c>
      <c r="E525" t="s">
        <v>15</v>
      </c>
      <c r="F525" t="s">
        <v>31</v>
      </c>
      <c r="G525" t="s">
        <v>38</v>
      </c>
      <c r="H525">
        <v>9</v>
      </c>
      <c r="I525">
        <v>3180</v>
      </c>
      <c r="J525">
        <v>0</v>
      </c>
      <c r="K525">
        <v>28620</v>
      </c>
      <c r="L525" t="s">
        <v>18</v>
      </c>
      <c r="M525" s="2">
        <f>Table1[[#This Row],[Revenue_INR]]-Table1[[#This Row],[Price_INR]]</f>
        <v>25440</v>
      </c>
      <c r="N525">
        <f>YEAR(Table1[[#This Row],[Date]])</f>
        <v>2024</v>
      </c>
      <c r="O525" s="2">
        <f t="shared" si="32"/>
        <v>3180</v>
      </c>
      <c r="P525" s="7">
        <f t="shared" si="33"/>
        <v>88.888888888888886</v>
      </c>
      <c r="Q525" s="2">
        <f t="shared" si="34"/>
        <v>0</v>
      </c>
      <c r="R525" s="5" t="str">
        <f t="shared" si="35"/>
        <v>Above Average</v>
      </c>
      <c r="S525" s="5" t="str">
        <f>Table1[[#This Row],[Quarter]]&amp;" - "&amp;Table1[[#This Row],[City]]</f>
        <v>Q3 - Kolkata</v>
      </c>
    </row>
    <row r="526" spans="1:19" x14ac:dyDescent="0.3">
      <c r="A526" t="s">
        <v>592</v>
      </c>
      <c r="B526" s="1">
        <v>45489</v>
      </c>
      <c r="C526" t="s">
        <v>546</v>
      </c>
      <c r="D526" t="s">
        <v>547</v>
      </c>
      <c r="E526" t="s">
        <v>20</v>
      </c>
      <c r="F526" t="s">
        <v>31</v>
      </c>
      <c r="G526" t="s">
        <v>131</v>
      </c>
      <c r="H526">
        <v>13</v>
      </c>
      <c r="I526">
        <v>3980</v>
      </c>
      <c r="J526">
        <v>10</v>
      </c>
      <c r="K526">
        <v>46566</v>
      </c>
      <c r="L526" t="s">
        <v>39</v>
      </c>
      <c r="M526" s="2">
        <f>Table1[[#This Row],[Revenue_INR]]-Table1[[#This Row],[Price_INR]]</f>
        <v>42586</v>
      </c>
      <c r="N526">
        <f>YEAR(Table1[[#This Row],[Date]])</f>
        <v>2024</v>
      </c>
      <c r="O526" s="2">
        <f t="shared" si="32"/>
        <v>3582</v>
      </c>
      <c r="P526" s="7">
        <f t="shared" si="33"/>
        <v>91.452991452991455</v>
      </c>
      <c r="Q526" s="2">
        <f t="shared" si="34"/>
        <v>5174</v>
      </c>
      <c r="R526" s="5" t="str">
        <f t="shared" si="35"/>
        <v>Above Average</v>
      </c>
      <c r="S526" s="5" t="str">
        <f>Table1[[#This Row],[Quarter]]&amp;" - "&amp;Table1[[#This Row],[City]]</f>
        <v>Q3 - Mumbai</v>
      </c>
    </row>
    <row r="527" spans="1:19" x14ac:dyDescent="0.3">
      <c r="A527" t="s">
        <v>593</v>
      </c>
      <c r="B527" s="1">
        <v>45490</v>
      </c>
      <c r="C527" t="s">
        <v>546</v>
      </c>
      <c r="D527" t="s">
        <v>547</v>
      </c>
      <c r="E527" t="s">
        <v>20</v>
      </c>
      <c r="F527" t="s">
        <v>47</v>
      </c>
      <c r="G527" t="s">
        <v>51</v>
      </c>
      <c r="H527">
        <v>10</v>
      </c>
      <c r="I527">
        <v>2690</v>
      </c>
      <c r="J527">
        <v>25</v>
      </c>
      <c r="K527">
        <v>20175</v>
      </c>
      <c r="L527" t="s">
        <v>77</v>
      </c>
      <c r="M527" s="2">
        <f>Table1[[#This Row],[Revenue_INR]]-Table1[[#This Row],[Price_INR]]</f>
        <v>17485</v>
      </c>
      <c r="N527">
        <f>YEAR(Table1[[#This Row],[Date]])</f>
        <v>2024</v>
      </c>
      <c r="O527" s="2">
        <f t="shared" si="32"/>
        <v>2017.5</v>
      </c>
      <c r="P527" s="7">
        <f t="shared" si="33"/>
        <v>86.666666666666671</v>
      </c>
      <c r="Q527" s="2">
        <f t="shared" si="34"/>
        <v>6725</v>
      </c>
      <c r="R527" s="5" t="str">
        <f t="shared" si="35"/>
        <v>Below Average</v>
      </c>
      <c r="S527" s="5" t="str">
        <f>Table1[[#This Row],[Quarter]]&amp;" - "&amp;Table1[[#This Row],[City]]</f>
        <v>Q3 - Mumbai</v>
      </c>
    </row>
    <row r="528" spans="1:19" x14ac:dyDescent="0.3">
      <c r="A528" t="s">
        <v>594</v>
      </c>
      <c r="B528" s="1">
        <v>45490</v>
      </c>
      <c r="C528" t="s">
        <v>546</v>
      </c>
      <c r="D528" t="s">
        <v>547</v>
      </c>
      <c r="E528" t="s">
        <v>34</v>
      </c>
      <c r="F528" t="s">
        <v>60</v>
      </c>
      <c r="G528" t="s">
        <v>124</v>
      </c>
      <c r="H528">
        <v>1</v>
      </c>
      <c r="I528">
        <v>1840</v>
      </c>
      <c r="J528">
        <v>0</v>
      </c>
      <c r="K528">
        <v>1840</v>
      </c>
      <c r="L528" t="s">
        <v>36</v>
      </c>
      <c r="M528" s="2">
        <f>Table1[[#This Row],[Revenue_INR]]-Table1[[#This Row],[Price_INR]]</f>
        <v>0</v>
      </c>
      <c r="N528">
        <f>YEAR(Table1[[#This Row],[Date]])</f>
        <v>2024</v>
      </c>
      <c r="O528" s="2">
        <f t="shared" si="32"/>
        <v>1840</v>
      </c>
      <c r="P528" s="7">
        <f t="shared" si="33"/>
        <v>0</v>
      </c>
      <c r="Q528" s="2">
        <f t="shared" si="34"/>
        <v>0</v>
      </c>
      <c r="R528" s="5" t="str">
        <f t="shared" si="35"/>
        <v>Below Average</v>
      </c>
      <c r="S528" s="5" t="str">
        <f>Table1[[#This Row],[Quarter]]&amp;" - "&amp;Table1[[#This Row],[City]]</f>
        <v>Q3 - Delhi</v>
      </c>
    </row>
    <row r="529" spans="1:19" x14ac:dyDescent="0.3">
      <c r="A529" t="s">
        <v>595</v>
      </c>
      <c r="B529" s="1">
        <v>45490</v>
      </c>
      <c r="C529" t="s">
        <v>546</v>
      </c>
      <c r="D529" t="s">
        <v>547</v>
      </c>
      <c r="E529" t="s">
        <v>25</v>
      </c>
      <c r="F529" t="s">
        <v>31</v>
      </c>
      <c r="G529" t="s">
        <v>131</v>
      </c>
      <c r="H529">
        <v>4</v>
      </c>
      <c r="I529">
        <v>4820</v>
      </c>
      <c r="J529">
        <v>20</v>
      </c>
      <c r="K529">
        <v>15424</v>
      </c>
      <c r="L529" t="s">
        <v>28</v>
      </c>
      <c r="M529" s="2">
        <f>Table1[[#This Row],[Revenue_INR]]-Table1[[#This Row],[Price_INR]]</f>
        <v>10604</v>
      </c>
      <c r="N529">
        <f>YEAR(Table1[[#This Row],[Date]])</f>
        <v>2024</v>
      </c>
      <c r="O529" s="2">
        <f t="shared" si="32"/>
        <v>3856</v>
      </c>
      <c r="P529" s="7">
        <f t="shared" si="33"/>
        <v>68.75</v>
      </c>
      <c r="Q529" s="2">
        <f t="shared" si="34"/>
        <v>3856</v>
      </c>
      <c r="R529" s="5" t="str">
        <f t="shared" si="35"/>
        <v>Below Average</v>
      </c>
      <c r="S529" s="5" t="str">
        <f>Table1[[#This Row],[Quarter]]&amp;" - "&amp;Table1[[#This Row],[City]]</f>
        <v>Q3 - Hyderabad</v>
      </c>
    </row>
    <row r="530" spans="1:19" x14ac:dyDescent="0.3">
      <c r="A530" t="s">
        <v>596</v>
      </c>
      <c r="B530" s="1">
        <v>45490</v>
      </c>
      <c r="C530" t="s">
        <v>546</v>
      </c>
      <c r="D530" t="s">
        <v>547</v>
      </c>
      <c r="E530" t="s">
        <v>25</v>
      </c>
      <c r="F530" t="s">
        <v>31</v>
      </c>
      <c r="G530" t="s">
        <v>131</v>
      </c>
      <c r="H530">
        <v>9</v>
      </c>
      <c r="I530">
        <v>4290</v>
      </c>
      <c r="J530">
        <v>30</v>
      </c>
      <c r="K530">
        <v>27027</v>
      </c>
      <c r="L530" t="s">
        <v>42</v>
      </c>
      <c r="M530" s="2">
        <f>Table1[[#This Row],[Revenue_INR]]-Table1[[#This Row],[Price_INR]]</f>
        <v>22737</v>
      </c>
      <c r="N530">
        <f>YEAR(Table1[[#This Row],[Date]])</f>
        <v>2024</v>
      </c>
      <c r="O530" s="2">
        <f t="shared" si="32"/>
        <v>3003</v>
      </c>
      <c r="P530" s="7">
        <f t="shared" si="33"/>
        <v>84.126984126984127</v>
      </c>
      <c r="Q530" s="2">
        <f t="shared" si="34"/>
        <v>11583</v>
      </c>
      <c r="R530" s="5" t="str">
        <f t="shared" si="35"/>
        <v>Above Average</v>
      </c>
      <c r="S530" s="5" t="str">
        <f>Table1[[#This Row],[Quarter]]&amp;" - "&amp;Table1[[#This Row],[City]]</f>
        <v>Q3 - Hyderabad</v>
      </c>
    </row>
    <row r="531" spans="1:19" x14ac:dyDescent="0.3">
      <c r="A531" t="s">
        <v>597</v>
      </c>
      <c r="B531" s="1">
        <v>45491</v>
      </c>
      <c r="C531" t="s">
        <v>546</v>
      </c>
      <c r="D531" t="s">
        <v>547</v>
      </c>
      <c r="E531" t="s">
        <v>15</v>
      </c>
      <c r="F531" t="s">
        <v>60</v>
      </c>
      <c r="G531" t="s">
        <v>99</v>
      </c>
      <c r="H531">
        <v>4</v>
      </c>
      <c r="I531">
        <v>910</v>
      </c>
      <c r="J531">
        <v>20</v>
      </c>
      <c r="K531">
        <v>2912</v>
      </c>
      <c r="L531" t="s">
        <v>18</v>
      </c>
      <c r="M531" s="2">
        <f>Table1[[#This Row],[Revenue_INR]]-Table1[[#This Row],[Price_INR]]</f>
        <v>2002</v>
      </c>
      <c r="N531">
        <f>YEAR(Table1[[#This Row],[Date]])</f>
        <v>2024</v>
      </c>
      <c r="O531" s="2">
        <f t="shared" si="32"/>
        <v>728</v>
      </c>
      <c r="P531" s="7">
        <f t="shared" si="33"/>
        <v>68.75</v>
      </c>
      <c r="Q531" s="2">
        <f t="shared" si="34"/>
        <v>728</v>
      </c>
      <c r="R531" s="5" t="str">
        <f t="shared" si="35"/>
        <v>Below Average</v>
      </c>
      <c r="S531" s="5" t="str">
        <f>Table1[[#This Row],[Quarter]]&amp;" - "&amp;Table1[[#This Row],[City]]</f>
        <v>Q3 - Kolkata</v>
      </c>
    </row>
    <row r="532" spans="1:19" x14ac:dyDescent="0.3">
      <c r="A532" t="s">
        <v>598</v>
      </c>
      <c r="B532" s="1">
        <v>45491</v>
      </c>
      <c r="C532" t="s">
        <v>546</v>
      </c>
      <c r="D532" t="s">
        <v>547</v>
      </c>
      <c r="E532" t="s">
        <v>15</v>
      </c>
      <c r="F532" t="s">
        <v>16</v>
      </c>
      <c r="G532" t="s">
        <v>69</v>
      </c>
      <c r="H532">
        <v>4</v>
      </c>
      <c r="I532">
        <v>1710</v>
      </c>
      <c r="J532">
        <v>15</v>
      </c>
      <c r="K532">
        <v>5814</v>
      </c>
      <c r="L532" t="s">
        <v>18</v>
      </c>
      <c r="M532" s="2">
        <f>Table1[[#This Row],[Revenue_INR]]-Table1[[#This Row],[Price_INR]]</f>
        <v>4104</v>
      </c>
      <c r="N532">
        <f>YEAR(Table1[[#This Row],[Date]])</f>
        <v>2024</v>
      </c>
      <c r="O532" s="2">
        <f t="shared" si="32"/>
        <v>1453.5</v>
      </c>
      <c r="P532" s="7">
        <f t="shared" si="33"/>
        <v>70.588235294117652</v>
      </c>
      <c r="Q532" s="2">
        <f t="shared" si="34"/>
        <v>1026</v>
      </c>
      <c r="R532" s="5" t="str">
        <f t="shared" si="35"/>
        <v>Below Average</v>
      </c>
      <c r="S532" s="5" t="str">
        <f>Table1[[#This Row],[Quarter]]&amp;" - "&amp;Table1[[#This Row],[City]]</f>
        <v>Q3 - Kolkata</v>
      </c>
    </row>
    <row r="533" spans="1:19" x14ac:dyDescent="0.3">
      <c r="A533" t="s">
        <v>599</v>
      </c>
      <c r="B533" s="1">
        <v>45491</v>
      </c>
      <c r="C533" t="s">
        <v>546</v>
      </c>
      <c r="D533" t="s">
        <v>547</v>
      </c>
      <c r="E533" t="s">
        <v>25</v>
      </c>
      <c r="F533" t="s">
        <v>47</v>
      </c>
      <c r="G533" t="s">
        <v>51</v>
      </c>
      <c r="H533">
        <v>8</v>
      </c>
      <c r="I533">
        <v>3910</v>
      </c>
      <c r="J533">
        <v>0</v>
      </c>
      <c r="K533">
        <v>31280</v>
      </c>
      <c r="L533" t="s">
        <v>28</v>
      </c>
      <c r="M533" s="2">
        <f>Table1[[#This Row],[Revenue_INR]]-Table1[[#This Row],[Price_INR]]</f>
        <v>27370</v>
      </c>
      <c r="N533">
        <f>YEAR(Table1[[#This Row],[Date]])</f>
        <v>2024</v>
      </c>
      <c r="O533" s="2">
        <f t="shared" si="32"/>
        <v>3910</v>
      </c>
      <c r="P533" s="7">
        <f t="shared" si="33"/>
        <v>87.5</v>
      </c>
      <c r="Q533" s="2">
        <f t="shared" si="34"/>
        <v>0</v>
      </c>
      <c r="R533" s="5" t="str">
        <f t="shared" si="35"/>
        <v>Above Average</v>
      </c>
      <c r="S533" s="5" t="str">
        <f>Table1[[#This Row],[Quarter]]&amp;" - "&amp;Table1[[#This Row],[City]]</f>
        <v>Q3 - Hyderabad</v>
      </c>
    </row>
    <row r="534" spans="1:19" x14ac:dyDescent="0.3">
      <c r="A534" t="s">
        <v>600</v>
      </c>
      <c r="B534" s="1">
        <v>45492</v>
      </c>
      <c r="C534" t="s">
        <v>546</v>
      </c>
      <c r="D534" t="s">
        <v>547</v>
      </c>
      <c r="E534" t="s">
        <v>20</v>
      </c>
      <c r="F534" t="s">
        <v>47</v>
      </c>
      <c r="G534" t="s">
        <v>51</v>
      </c>
      <c r="H534">
        <v>3</v>
      </c>
      <c r="I534">
        <v>5730</v>
      </c>
      <c r="J534">
        <v>25</v>
      </c>
      <c r="K534">
        <v>12892.5</v>
      </c>
      <c r="L534" t="s">
        <v>77</v>
      </c>
      <c r="M534" s="2">
        <f>Table1[[#This Row],[Revenue_INR]]-Table1[[#This Row],[Price_INR]]</f>
        <v>7162.5</v>
      </c>
      <c r="N534">
        <f>YEAR(Table1[[#This Row],[Date]])</f>
        <v>2024</v>
      </c>
      <c r="O534" s="2">
        <f t="shared" si="32"/>
        <v>4297.5</v>
      </c>
      <c r="P534" s="7">
        <f t="shared" si="33"/>
        <v>55.555555555555557</v>
      </c>
      <c r="Q534" s="2">
        <f t="shared" si="34"/>
        <v>4297.5</v>
      </c>
      <c r="R534" s="5" t="str">
        <f t="shared" si="35"/>
        <v>Below Average</v>
      </c>
      <c r="S534" s="5" t="str">
        <f>Table1[[#This Row],[Quarter]]&amp;" - "&amp;Table1[[#This Row],[City]]</f>
        <v>Q3 - Mumbai</v>
      </c>
    </row>
    <row r="535" spans="1:19" x14ac:dyDescent="0.3">
      <c r="A535" t="s">
        <v>601</v>
      </c>
      <c r="B535" s="1">
        <v>45493</v>
      </c>
      <c r="C535" t="s">
        <v>546</v>
      </c>
      <c r="D535" t="s">
        <v>547</v>
      </c>
      <c r="E535" t="s">
        <v>15</v>
      </c>
      <c r="F535" t="s">
        <v>60</v>
      </c>
      <c r="G535" t="s">
        <v>99</v>
      </c>
      <c r="H535">
        <v>4</v>
      </c>
      <c r="I535">
        <v>1760</v>
      </c>
      <c r="J535">
        <v>0</v>
      </c>
      <c r="K535">
        <v>7040</v>
      </c>
      <c r="L535" t="s">
        <v>92</v>
      </c>
      <c r="M535" s="2">
        <f>Table1[[#This Row],[Revenue_INR]]-Table1[[#This Row],[Price_INR]]</f>
        <v>5280</v>
      </c>
      <c r="N535">
        <f>YEAR(Table1[[#This Row],[Date]])</f>
        <v>2024</v>
      </c>
      <c r="O535" s="2">
        <f t="shared" si="32"/>
        <v>1760</v>
      </c>
      <c r="P535" s="7">
        <f t="shared" si="33"/>
        <v>75</v>
      </c>
      <c r="Q535" s="2">
        <f t="shared" si="34"/>
        <v>0</v>
      </c>
      <c r="R535" s="5" t="str">
        <f t="shared" si="35"/>
        <v>Below Average</v>
      </c>
      <c r="S535" s="5" t="str">
        <f>Table1[[#This Row],[Quarter]]&amp;" - "&amp;Table1[[#This Row],[City]]</f>
        <v>Q3 - Kolkata</v>
      </c>
    </row>
    <row r="536" spans="1:19" x14ac:dyDescent="0.3">
      <c r="A536" t="s">
        <v>602</v>
      </c>
      <c r="B536" s="1">
        <v>45493</v>
      </c>
      <c r="C536" t="s">
        <v>546</v>
      </c>
      <c r="D536" t="s">
        <v>547</v>
      </c>
      <c r="E536" t="s">
        <v>25</v>
      </c>
      <c r="F536" t="s">
        <v>31</v>
      </c>
      <c r="G536" t="s">
        <v>32</v>
      </c>
      <c r="H536">
        <v>11</v>
      </c>
      <c r="I536">
        <v>1760</v>
      </c>
      <c r="J536">
        <v>25</v>
      </c>
      <c r="K536">
        <v>14520</v>
      </c>
      <c r="L536" t="s">
        <v>28</v>
      </c>
      <c r="M536" s="2">
        <f>Table1[[#This Row],[Revenue_INR]]-Table1[[#This Row],[Price_INR]]</f>
        <v>12760</v>
      </c>
      <c r="N536">
        <f>YEAR(Table1[[#This Row],[Date]])</f>
        <v>2024</v>
      </c>
      <c r="O536" s="2">
        <f t="shared" si="32"/>
        <v>1320</v>
      </c>
      <c r="P536" s="7">
        <f t="shared" si="33"/>
        <v>87.878787878787875</v>
      </c>
      <c r="Q536" s="2">
        <f t="shared" si="34"/>
        <v>4840</v>
      </c>
      <c r="R536" s="5" t="str">
        <f t="shared" si="35"/>
        <v>Below Average</v>
      </c>
      <c r="S536" s="5" t="str">
        <f>Table1[[#This Row],[Quarter]]&amp;" - "&amp;Table1[[#This Row],[City]]</f>
        <v>Q3 - Hyderabad</v>
      </c>
    </row>
    <row r="537" spans="1:19" x14ac:dyDescent="0.3">
      <c r="A537" t="s">
        <v>603</v>
      </c>
      <c r="B537" s="1">
        <v>45494</v>
      </c>
      <c r="C537" t="s">
        <v>546</v>
      </c>
      <c r="D537" t="s">
        <v>547</v>
      </c>
      <c r="E537" t="s">
        <v>25</v>
      </c>
      <c r="F537" t="s">
        <v>47</v>
      </c>
      <c r="G537" t="s">
        <v>48</v>
      </c>
      <c r="H537">
        <v>7</v>
      </c>
      <c r="I537">
        <v>8510</v>
      </c>
      <c r="J537">
        <v>0</v>
      </c>
      <c r="K537">
        <v>59570</v>
      </c>
      <c r="L537" t="s">
        <v>66</v>
      </c>
      <c r="M537" s="2">
        <f>Table1[[#This Row],[Revenue_INR]]-Table1[[#This Row],[Price_INR]]</f>
        <v>51060</v>
      </c>
      <c r="N537">
        <f>YEAR(Table1[[#This Row],[Date]])</f>
        <v>2024</v>
      </c>
      <c r="O537" s="2">
        <f t="shared" si="32"/>
        <v>8510</v>
      </c>
      <c r="P537" s="7">
        <f t="shared" si="33"/>
        <v>85.714285714285708</v>
      </c>
      <c r="Q537" s="2">
        <f t="shared" si="34"/>
        <v>0</v>
      </c>
      <c r="R537" s="5" t="str">
        <f t="shared" si="35"/>
        <v>Above Average</v>
      </c>
      <c r="S537" s="5" t="str">
        <f>Table1[[#This Row],[Quarter]]&amp;" - "&amp;Table1[[#This Row],[City]]</f>
        <v>Q3 - Hyderabad</v>
      </c>
    </row>
    <row r="538" spans="1:19" x14ac:dyDescent="0.3">
      <c r="A538" t="s">
        <v>604</v>
      </c>
      <c r="B538" s="1">
        <v>45494</v>
      </c>
      <c r="C538" t="s">
        <v>546</v>
      </c>
      <c r="D538" t="s">
        <v>547</v>
      </c>
      <c r="E538" t="s">
        <v>20</v>
      </c>
      <c r="F538" t="s">
        <v>47</v>
      </c>
      <c r="G538" t="s">
        <v>55</v>
      </c>
      <c r="H538">
        <v>10</v>
      </c>
      <c r="I538">
        <v>3170</v>
      </c>
      <c r="J538">
        <v>15</v>
      </c>
      <c r="K538">
        <v>26945</v>
      </c>
      <c r="L538" t="s">
        <v>23</v>
      </c>
      <c r="M538" s="2">
        <f>Table1[[#This Row],[Revenue_INR]]-Table1[[#This Row],[Price_INR]]</f>
        <v>23775</v>
      </c>
      <c r="N538">
        <f>YEAR(Table1[[#This Row],[Date]])</f>
        <v>2024</v>
      </c>
      <c r="O538" s="2">
        <f t="shared" si="32"/>
        <v>2694.5</v>
      </c>
      <c r="P538" s="7">
        <f t="shared" si="33"/>
        <v>88.235294117647058</v>
      </c>
      <c r="Q538" s="2">
        <f t="shared" si="34"/>
        <v>4755</v>
      </c>
      <c r="R538" s="5" t="str">
        <f t="shared" si="35"/>
        <v>Above Average</v>
      </c>
      <c r="S538" s="5" t="str">
        <f>Table1[[#This Row],[Quarter]]&amp;" - "&amp;Table1[[#This Row],[City]]</f>
        <v>Q3 - Mumbai</v>
      </c>
    </row>
    <row r="539" spans="1:19" x14ac:dyDescent="0.3">
      <c r="A539" t="s">
        <v>605</v>
      </c>
      <c r="B539" s="1">
        <v>45495</v>
      </c>
      <c r="C539" t="s">
        <v>546</v>
      </c>
      <c r="D539" t="s">
        <v>547</v>
      </c>
      <c r="E539" t="s">
        <v>15</v>
      </c>
      <c r="F539" t="s">
        <v>16</v>
      </c>
      <c r="G539" t="s">
        <v>17</v>
      </c>
      <c r="H539">
        <v>13</v>
      </c>
      <c r="I539">
        <v>2590</v>
      </c>
      <c r="J539">
        <v>20</v>
      </c>
      <c r="K539">
        <v>26936</v>
      </c>
      <c r="L539" t="s">
        <v>92</v>
      </c>
      <c r="M539" s="2">
        <f>Table1[[#This Row],[Revenue_INR]]-Table1[[#This Row],[Price_INR]]</f>
        <v>24346</v>
      </c>
      <c r="N539">
        <f>YEAR(Table1[[#This Row],[Date]])</f>
        <v>2024</v>
      </c>
      <c r="O539" s="2">
        <f t="shared" si="32"/>
        <v>2072</v>
      </c>
      <c r="P539" s="7">
        <f t="shared" si="33"/>
        <v>90.384615384615387</v>
      </c>
      <c r="Q539" s="2">
        <f t="shared" si="34"/>
        <v>6734</v>
      </c>
      <c r="R539" s="5" t="str">
        <f t="shared" si="35"/>
        <v>Above Average</v>
      </c>
      <c r="S539" s="5" t="str">
        <f>Table1[[#This Row],[Quarter]]&amp;" - "&amp;Table1[[#This Row],[City]]</f>
        <v>Q3 - Kolkata</v>
      </c>
    </row>
    <row r="540" spans="1:19" x14ac:dyDescent="0.3">
      <c r="A540" t="s">
        <v>606</v>
      </c>
      <c r="B540" s="1">
        <v>45496</v>
      </c>
      <c r="C540" t="s">
        <v>546</v>
      </c>
      <c r="D540" t="s">
        <v>547</v>
      </c>
      <c r="E540" t="s">
        <v>15</v>
      </c>
      <c r="F540" t="s">
        <v>16</v>
      </c>
      <c r="G540" t="s">
        <v>44</v>
      </c>
      <c r="H540">
        <v>7</v>
      </c>
      <c r="I540">
        <v>2240</v>
      </c>
      <c r="J540">
        <v>15</v>
      </c>
      <c r="K540">
        <v>13328</v>
      </c>
      <c r="L540" t="s">
        <v>92</v>
      </c>
      <c r="M540" s="2">
        <f>Table1[[#This Row],[Revenue_INR]]-Table1[[#This Row],[Price_INR]]</f>
        <v>11088</v>
      </c>
      <c r="N540">
        <f>YEAR(Table1[[#This Row],[Date]])</f>
        <v>2024</v>
      </c>
      <c r="O540" s="2">
        <f t="shared" si="32"/>
        <v>1904</v>
      </c>
      <c r="P540" s="7">
        <f t="shared" si="33"/>
        <v>83.193277310924373</v>
      </c>
      <c r="Q540" s="2">
        <f t="shared" si="34"/>
        <v>2352</v>
      </c>
      <c r="R540" s="5" t="str">
        <f t="shared" si="35"/>
        <v>Below Average</v>
      </c>
      <c r="S540" s="5" t="str">
        <f>Table1[[#This Row],[Quarter]]&amp;" - "&amp;Table1[[#This Row],[City]]</f>
        <v>Q3 - Kolkata</v>
      </c>
    </row>
    <row r="541" spans="1:19" x14ac:dyDescent="0.3">
      <c r="A541" t="s">
        <v>607</v>
      </c>
      <c r="B541" s="1">
        <v>45496</v>
      </c>
      <c r="C541" t="s">
        <v>546</v>
      </c>
      <c r="D541" t="s">
        <v>547</v>
      </c>
      <c r="E541" t="s">
        <v>20</v>
      </c>
      <c r="F541" t="s">
        <v>47</v>
      </c>
      <c r="G541" t="s">
        <v>55</v>
      </c>
      <c r="H541">
        <v>5</v>
      </c>
      <c r="I541">
        <v>5840</v>
      </c>
      <c r="J541">
        <v>0</v>
      </c>
      <c r="K541">
        <v>29200</v>
      </c>
      <c r="L541" t="s">
        <v>77</v>
      </c>
      <c r="M541" s="2">
        <f>Table1[[#This Row],[Revenue_INR]]-Table1[[#This Row],[Price_INR]]</f>
        <v>23360</v>
      </c>
      <c r="N541">
        <f>YEAR(Table1[[#This Row],[Date]])</f>
        <v>2024</v>
      </c>
      <c r="O541" s="2">
        <f t="shared" si="32"/>
        <v>5840</v>
      </c>
      <c r="P541" s="7">
        <f t="shared" si="33"/>
        <v>80</v>
      </c>
      <c r="Q541" s="2">
        <f t="shared" si="34"/>
        <v>0</v>
      </c>
      <c r="R541" s="5" t="str">
        <f t="shared" si="35"/>
        <v>Above Average</v>
      </c>
      <c r="S541" s="5" t="str">
        <f>Table1[[#This Row],[Quarter]]&amp;" - "&amp;Table1[[#This Row],[City]]</f>
        <v>Q3 - Mumbai</v>
      </c>
    </row>
    <row r="542" spans="1:19" x14ac:dyDescent="0.3">
      <c r="A542" t="s">
        <v>608</v>
      </c>
      <c r="B542" s="1">
        <v>45496</v>
      </c>
      <c r="C542" t="s">
        <v>546</v>
      </c>
      <c r="D542" t="s">
        <v>547</v>
      </c>
      <c r="E542" t="s">
        <v>25</v>
      </c>
      <c r="F542" t="s">
        <v>21</v>
      </c>
      <c r="G542" t="s">
        <v>94</v>
      </c>
      <c r="H542">
        <v>2</v>
      </c>
      <c r="I542">
        <v>2990</v>
      </c>
      <c r="J542">
        <v>20</v>
      </c>
      <c r="K542">
        <v>4784</v>
      </c>
      <c r="L542" t="s">
        <v>66</v>
      </c>
      <c r="M542" s="2">
        <f>Table1[[#This Row],[Revenue_INR]]-Table1[[#This Row],[Price_INR]]</f>
        <v>1794</v>
      </c>
      <c r="N542">
        <f>YEAR(Table1[[#This Row],[Date]])</f>
        <v>2024</v>
      </c>
      <c r="O542" s="2">
        <f t="shared" si="32"/>
        <v>2392</v>
      </c>
      <c r="P542" s="7">
        <f t="shared" si="33"/>
        <v>37.5</v>
      </c>
      <c r="Q542" s="2">
        <f t="shared" si="34"/>
        <v>1196</v>
      </c>
      <c r="R542" s="5" t="str">
        <f t="shared" si="35"/>
        <v>Below Average</v>
      </c>
      <c r="S542" s="5" t="str">
        <f>Table1[[#This Row],[Quarter]]&amp;" - "&amp;Table1[[#This Row],[City]]</f>
        <v>Q3 - Hyderabad</v>
      </c>
    </row>
    <row r="543" spans="1:19" x14ac:dyDescent="0.3">
      <c r="A543" t="s">
        <v>609</v>
      </c>
      <c r="B543" s="1">
        <v>45497</v>
      </c>
      <c r="C543" t="s">
        <v>546</v>
      </c>
      <c r="D543" t="s">
        <v>547</v>
      </c>
      <c r="E543" t="s">
        <v>34</v>
      </c>
      <c r="F543" t="s">
        <v>47</v>
      </c>
      <c r="G543" t="s">
        <v>55</v>
      </c>
      <c r="H543">
        <v>8</v>
      </c>
      <c r="I543">
        <v>2420</v>
      </c>
      <c r="J543">
        <v>30</v>
      </c>
      <c r="K543">
        <v>13552</v>
      </c>
      <c r="L543" t="s">
        <v>49</v>
      </c>
      <c r="M543" s="2">
        <f>Table1[[#This Row],[Revenue_INR]]-Table1[[#This Row],[Price_INR]]</f>
        <v>11132</v>
      </c>
      <c r="N543">
        <f>YEAR(Table1[[#This Row],[Date]])</f>
        <v>2024</v>
      </c>
      <c r="O543" s="2">
        <f t="shared" si="32"/>
        <v>1694</v>
      </c>
      <c r="P543" s="7">
        <f t="shared" si="33"/>
        <v>82.142857142857139</v>
      </c>
      <c r="Q543" s="2">
        <f t="shared" si="34"/>
        <v>5808</v>
      </c>
      <c r="R543" s="5" t="str">
        <f t="shared" si="35"/>
        <v>Below Average</v>
      </c>
      <c r="S543" s="5" t="str">
        <f>Table1[[#This Row],[Quarter]]&amp;" - "&amp;Table1[[#This Row],[City]]</f>
        <v>Q3 - Delhi</v>
      </c>
    </row>
    <row r="544" spans="1:19" x14ac:dyDescent="0.3">
      <c r="A544" t="s">
        <v>610</v>
      </c>
      <c r="B544" s="1">
        <v>45497</v>
      </c>
      <c r="C544" t="s">
        <v>546</v>
      </c>
      <c r="D544" t="s">
        <v>547</v>
      </c>
      <c r="E544" t="s">
        <v>25</v>
      </c>
      <c r="F544" t="s">
        <v>21</v>
      </c>
      <c r="G544" t="s">
        <v>71</v>
      </c>
      <c r="H544">
        <v>4</v>
      </c>
      <c r="I544">
        <v>2110</v>
      </c>
      <c r="J544">
        <v>30</v>
      </c>
      <c r="K544">
        <v>5908</v>
      </c>
      <c r="L544" t="s">
        <v>42</v>
      </c>
      <c r="M544" s="2">
        <f>Table1[[#This Row],[Revenue_INR]]-Table1[[#This Row],[Price_INR]]</f>
        <v>3798</v>
      </c>
      <c r="N544">
        <f>YEAR(Table1[[#This Row],[Date]])</f>
        <v>2024</v>
      </c>
      <c r="O544" s="2">
        <f t="shared" si="32"/>
        <v>1477</v>
      </c>
      <c r="P544" s="7">
        <f t="shared" si="33"/>
        <v>64.285714285714292</v>
      </c>
      <c r="Q544" s="2">
        <f t="shared" si="34"/>
        <v>2532</v>
      </c>
      <c r="R544" s="5" t="str">
        <f t="shared" si="35"/>
        <v>Below Average</v>
      </c>
      <c r="S544" s="5" t="str">
        <f>Table1[[#This Row],[Quarter]]&amp;" - "&amp;Table1[[#This Row],[City]]</f>
        <v>Q3 - Hyderabad</v>
      </c>
    </row>
    <row r="545" spans="1:19" x14ac:dyDescent="0.3">
      <c r="A545" t="s">
        <v>611</v>
      </c>
      <c r="B545" s="1">
        <v>45498</v>
      </c>
      <c r="C545" t="s">
        <v>546</v>
      </c>
      <c r="D545" t="s">
        <v>547</v>
      </c>
      <c r="E545" t="s">
        <v>15</v>
      </c>
      <c r="F545" t="s">
        <v>60</v>
      </c>
      <c r="G545" t="s">
        <v>85</v>
      </c>
      <c r="H545">
        <v>11</v>
      </c>
      <c r="I545">
        <v>1770</v>
      </c>
      <c r="J545">
        <v>15</v>
      </c>
      <c r="K545">
        <v>16549.5</v>
      </c>
      <c r="L545" t="s">
        <v>53</v>
      </c>
      <c r="M545" s="2">
        <f>Table1[[#This Row],[Revenue_INR]]-Table1[[#This Row],[Price_INR]]</f>
        <v>14779.5</v>
      </c>
      <c r="N545">
        <f>YEAR(Table1[[#This Row],[Date]])</f>
        <v>2024</v>
      </c>
      <c r="O545" s="2">
        <f t="shared" si="32"/>
        <v>1504.5</v>
      </c>
      <c r="P545" s="7">
        <f t="shared" si="33"/>
        <v>89.304812834224606</v>
      </c>
      <c r="Q545" s="2">
        <f t="shared" si="34"/>
        <v>2920.5</v>
      </c>
      <c r="R545" s="5" t="str">
        <f t="shared" si="35"/>
        <v>Below Average</v>
      </c>
      <c r="S545" s="5" t="str">
        <f>Table1[[#This Row],[Quarter]]&amp;" - "&amp;Table1[[#This Row],[City]]</f>
        <v>Q3 - Kolkata</v>
      </c>
    </row>
    <row r="546" spans="1:19" x14ac:dyDescent="0.3">
      <c r="A546" t="s">
        <v>612</v>
      </c>
      <c r="B546" s="1">
        <v>45498</v>
      </c>
      <c r="C546" t="s">
        <v>546</v>
      </c>
      <c r="D546" t="s">
        <v>547</v>
      </c>
      <c r="E546" t="s">
        <v>15</v>
      </c>
      <c r="F546" t="s">
        <v>60</v>
      </c>
      <c r="G546" t="s">
        <v>99</v>
      </c>
      <c r="H546">
        <v>2</v>
      </c>
      <c r="I546">
        <v>1080</v>
      </c>
      <c r="J546">
        <v>30</v>
      </c>
      <c r="K546">
        <v>1512</v>
      </c>
      <c r="L546" t="s">
        <v>18</v>
      </c>
      <c r="M546" s="2">
        <f>Table1[[#This Row],[Revenue_INR]]-Table1[[#This Row],[Price_INR]]</f>
        <v>432</v>
      </c>
      <c r="N546">
        <f>YEAR(Table1[[#This Row],[Date]])</f>
        <v>2024</v>
      </c>
      <c r="O546" s="2">
        <f t="shared" si="32"/>
        <v>756</v>
      </c>
      <c r="P546" s="7">
        <f t="shared" si="33"/>
        <v>28.571428571428569</v>
      </c>
      <c r="Q546" s="2">
        <f t="shared" si="34"/>
        <v>648</v>
      </c>
      <c r="R546" s="5" t="str">
        <f t="shared" si="35"/>
        <v>Below Average</v>
      </c>
      <c r="S546" s="5" t="str">
        <f>Table1[[#This Row],[Quarter]]&amp;" - "&amp;Table1[[#This Row],[City]]</f>
        <v>Q3 - Kolkata</v>
      </c>
    </row>
    <row r="547" spans="1:19" x14ac:dyDescent="0.3">
      <c r="A547" t="s">
        <v>613</v>
      </c>
      <c r="B547" s="1">
        <v>45499</v>
      </c>
      <c r="C547" t="s">
        <v>546</v>
      </c>
      <c r="D547" t="s">
        <v>547</v>
      </c>
      <c r="E547" t="s">
        <v>34</v>
      </c>
      <c r="F547" t="s">
        <v>31</v>
      </c>
      <c r="G547" t="s">
        <v>38</v>
      </c>
      <c r="H547">
        <v>2</v>
      </c>
      <c r="I547">
        <v>4970</v>
      </c>
      <c r="J547">
        <v>10</v>
      </c>
      <c r="K547">
        <v>8946</v>
      </c>
      <c r="L547" t="s">
        <v>49</v>
      </c>
      <c r="M547" s="2">
        <f>Table1[[#This Row],[Revenue_INR]]-Table1[[#This Row],[Price_INR]]</f>
        <v>3976</v>
      </c>
      <c r="N547">
        <f>YEAR(Table1[[#This Row],[Date]])</f>
        <v>2024</v>
      </c>
      <c r="O547" s="2">
        <f t="shared" si="32"/>
        <v>4473</v>
      </c>
      <c r="P547" s="7">
        <f t="shared" si="33"/>
        <v>44.444444444444443</v>
      </c>
      <c r="Q547" s="2">
        <f t="shared" si="34"/>
        <v>994</v>
      </c>
      <c r="R547" s="5" t="str">
        <f t="shared" si="35"/>
        <v>Below Average</v>
      </c>
      <c r="S547" s="5" t="str">
        <f>Table1[[#This Row],[Quarter]]&amp;" - "&amp;Table1[[#This Row],[City]]</f>
        <v>Q3 - Delhi</v>
      </c>
    </row>
    <row r="548" spans="1:19" x14ac:dyDescent="0.3">
      <c r="A548" t="s">
        <v>614</v>
      </c>
      <c r="B548" s="1">
        <v>45499</v>
      </c>
      <c r="C548" t="s">
        <v>546</v>
      </c>
      <c r="D548" t="s">
        <v>547</v>
      </c>
      <c r="E548" t="s">
        <v>20</v>
      </c>
      <c r="F548" t="s">
        <v>31</v>
      </c>
      <c r="G548" t="s">
        <v>131</v>
      </c>
      <c r="H548">
        <v>12</v>
      </c>
      <c r="I548">
        <v>2690</v>
      </c>
      <c r="J548">
        <v>0</v>
      </c>
      <c r="K548">
        <v>32280</v>
      </c>
      <c r="L548" t="s">
        <v>39</v>
      </c>
      <c r="M548" s="2">
        <f>Table1[[#This Row],[Revenue_INR]]-Table1[[#This Row],[Price_INR]]</f>
        <v>29590</v>
      </c>
      <c r="N548">
        <f>YEAR(Table1[[#This Row],[Date]])</f>
        <v>2024</v>
      </c>
      <c r="O548" s="2">
        <f t="shared" si="32"/>
        <v>2690</v>
      </c>
      <c r="P548" s="7">
        <f t="shared" si="33"/>
        <v>91.666666666666657</v>
      </c>
      <c r="Q548" s="2">
        <f t="shared" si="34"/>
        <v>0</v>
      </c>
      <c r="R548" s="5" t="str">
        <f t="shared" si="35"/>
        <v>Above Average</v>
      </c>
      <c r="S548" s="5" t="str">
        <f>Table1[[#This Row],[Quarter]]&amp;" - "&amp;Table1[[#This Row],[City]]</f>
        <v>Q3 - Mumbai</v>
      </c>
    </row>
    <row r="549" spans="1:19" x14ac:dyDescent="0.3">
      <c r="A549" t="s">
        <v>615</v>
      </c>
      <c r="B549" s="1">
        <v>45499</v>
      </c>
      <c r="C549" t="s">
        <v>546</v>
      </c>
      <c r="D549" t="s">
        <v>547</v>
      </c>
      <c r="E549" t="s">
        <v>20</v>
      </c>
      <c r="F549" t="s">
        <v>47</v>
      </c>
      <c r="G549" t="s">
        <v>102</v>
      </c>
      <c r="H549">
        <v>14</v>
      </c>
      <c r="I549">
        <v>7400</v>
      </c>
      <c r="J549">
        <v>25</v>
      </c>
      <c r="K549">
        <v>77700</v>
      </c>
      <c r="L549" t="s">
        <v>39</v>
      </c>
      <c r="M549" s="2">
        <f>Table1[[#This Row],[Revenue_INR]]-Table1[[#This Row],[Price_INR]]</f>
        <v>70300</v>
      </c>
      <c r="N549">
        <f>YEAR(Table1[[#This Row],[Date]])</f>
        <v>2024</v>
      </c>
      <c r="O549" s="2">
        <f t="shared" si="32"/>
        <v>5550</v>
      </c>
      <c r="P549" s="7">
        <f t="shared" si="33"/>
        <v>90.476190476190482</v>
      </c>
      <c r="Q549" s="2">
        <f t="shared" si="34"/>
        <v>25900</v>
      </c>
      <c r="R549" s="5" t="str">
        <f t="shared" si="35"/>
        <v>Above Average</v>
      </c>
      <c r="S549" s="5" t="str">
        <f>Table1[[#This Row],[Quarter]]&amp;" - "&amp;Table1[[#This Row],[City]]</f>
        <v>Q3 - Mumbai</v>
      </c>
    </row>
    <row r="550" spans="1:19" x14ac:dyDescent="0.3">
      <c r="A550" t="s">
        <v>616</v>
      </c>
      <c r="B550" s="1">
        <v>45499</v>
      </c>
      <c r="C550" t="s">
        <v>546</v>
      </c>
      <c r="D550" t="s">
        <v>547</v>
      </c>
      <c r="E550" t="s">
        <v>20</v>
      </c>
      <c r="F550" t="s">
        <v>16</v>
      </c>
      <c r="G550" t="s">
        <v>17</v>
      </c>
      <c r="H550">
        <v>3</v>
      </c>
      <c r="I550">
        <v>1000</v>
      </c>
      <c r="J550">
        <v>0</v>
      </c>
      <c r="K550">
        <v>3000</v>
      </c>
      <c r="L550" t="s">
        <v>23</v>
      </c>
      <c r="M550" s="2">
        <f>Table1[[#This Row],[Revenue_INR]]-Table1[[#This Row],[Price_INR]]</f>
        <v>2000</v>
      </c>
      <c r="N550">
        <f>YEAR(Table1[[#This Row],[Date]])</f>
        <v>2024</v>
      </c>
      <c r="O550" s="2">
        <f t="shared" si="32"/>
        <v>1000</v>
      </c>
      <c r="P550" s="7">
        <f t="shared" si="33"/>
        <v>66.666666666666657</v>
      </c>
      <c r="Q550" s="2">
        <f t="shared" si="34"/>
        <v>0</v>
      </c>
      <c r="R550" s="5" t="str">
        <f t="shared" si="35"/>
        <v>Below Average</v>
      </c>
      <c r="S550" s="5" t="str">
        <f>Table1[[#This Row],[Quarter]]&amp;" - "&amp;Table1[[#This Row],[City]]</f>
        <v>Q3 - Mumbai</v>
      </c>
    </row>
    <row r="551" spans="1:19" x14ac:dyDescent="0.3">
      <c r="A551" t="s">
        <v>617</v>
      </c>
      <c r="B551" s="1">
        <v>45500</v>
      </c>
      <c r="C551" t="s">
        <v>546</v>
      </c>
      <c r="D551" t="s">
        <v>547</v>
      </c>
      <c r="E551" t="s">
        <v>15</v>
      </c>
      <c r="F551" t="s">
        <v>26</v>
      </c>
      <c r="G551" t="s">
        <v>80</v>
      </c>
      <c r="H551">
        <v>4</v>
      </c>
      <c r="I551">
        <v>3660</v>
      </c>
      <c r="J551">
        <v>30</v>
      </c>
      <c r="K551">
        <v>10248</v>
      </c>
      <c r="L551" t="s">
        <v>18</v>
      </c>
      <c r="M551" s="2">
        <f>Table1[[#This Row],[Revenue_INR]]-Table1[[#This Row],[Price_INR]]</f>
        <v>6588</v>
      </c>
      <c r="N551">
        <f>YEAR(Table1[[#This Row],[Date]])</f>
        <v>2024</v>
      </c>
      <c r="O551" s="2">
        <f t="shared" si="32"/>
        <v>2562</v>
      </c>
      <c r="P551" s="7">
        <f t="shared" si="33"/>
        <v>64.285714285714292</v>
      </c>
      <c r="Q551" s="2">
        <f t="shared" si="34"/>
        <v>4392</v>
      </c>
      <c r="R551" s="5" t="str">
        <f t="shared" si="35"/>
        <v>Below Average</v>
      </c>
      <c r="S551" s="5" t="str">
        <f>Table1[[#This Row],[Quarter]]&amp;" - "&amp;Table1[[#This Row],[City]]</f>
        <v>Q3 - Kolkata</v>
      </c>
    </row>
    <row r="552" spans="1:19" x14ac:dyDescent="0.3">
      <c r="A552" t="s">
        <v>618</v>
      </c>
      <c r="B552" s="1">
        <v>45500</v>
      </c>
      <c r="C552" t="s">
        <v>546</v>
      </c>
      <c r="D552" t="s">
        <v>547</v>
      </c>
      <c r="E552" t="s">
        <v>25</v>
      </c>
      <c r="F552" t="s">
        <v>47</v>
      </c>
      <c r="G552" t="s">
        <v>102</v>
      </c>
      <c r="H552">
        <v>5</v>
      </c>
      <c r="I552">
        <v>6020</v>
      </c>
      <c r="J552">
        <v>5</v>
      </c>
      <c r="K552">
        <v>28595</v>
      </c>
      <c r="L552" t="s">
        <v>66</v>
      </c>
      <c r="M552" s="2">
        <f>Table1[[#This Row],[Revenue_INR]]-Table1[[#This Row],[Price_INR]]</f>
        <v>22575</v>
      </c>
      <c r="N552">
        <f>YEAR(Table1[[#This Row],[Date]])</f>
        <v>2024</v>
      </c>
      <c r="O552" s="2">
        <f t="shared" si="32"/>
        <v>5719</v>
      </c>
      <c r="P552" s="7">
        <f t="shared" si="33"/>
        <v>78.94736842105263</v>
      </c>
      <c r="Q552" s="2">
        <f t="shared" si="34"/>
        <v>1505</v>
      </c>
      <c r="R552" s="5" t="str">
        <f t="shared" si="35"/>
        <v>Above Average</v>
      </c>
      <c r="S552" s="5" t="str">
        <f>Table1[[#This Row],[Quarter]]&amp;" - "&amp;Table1[[#This Row],[City]]</f>
        <v>Q3 - Hyderabad</v>
      </c>
    </row>
    <row r="553" spans="1:19" x14ac:dyDescent="0.3">
      <c r="A553" t="s">
        <v>619</v>
      </c>
      <c r="B553" s="1">
        <v>45501</v>
      </c>
      <c r="C553" t="s">
        <v>546</v>
      </c>
      <c r="D553" t="s">
        <v>547</v>
      </c>
      <c r="E553" t="s">
        <v>25</v>
      </c>
      <c r="F553" t="s">
        <v>47</v>
      </c>
      <c r="G553" t="s">
        <v>48</v>
      </c>
      <c r="H553">
        <v>2</v>
      </c>
      <c r="I553">
        <v>7820</v>
      </c>
      <c r="J553">
        <v>30</v>
      </c>
      <c r="K553">
        <v>10948</v>
      </c>
      <c r="L553" t="s">
        <v>66</v>
      </c>
      <c r="M553" s="2">
        <f>Table1[[#This Row],[Revenue_INR]]-Table1[[#This Row],[Price_INR]]</f>
        <v>3128</v>
      </c>
      <c r="N553">
        <f>YEAR(Table1[[#This Row],[Date]])</f>
        <v>2024</v>
      </c>
      <c r="O553" s="2">
        <f t="shared" si="32"/>
        <v>5474</v>
      </c>
      <c r="P553" s="7">
        <f t="shared" si="33"/>
        <v>28.571428571428569</v>
      </c>
      <c r="Q553" s="2">
        <f t="shared" si="34"/>
        <v>4692</v>
      </c>
      <c r="R553" s="5" t="str">
        <f t="shared" si="35"/>
        <v>Below Average</v>
      </c>
      <c r="S553" s="5" t="str">
        <f>Table1[[#This Row],[Quarter]]&amp;" - "&amp;Table1[[#This Row],[City]]</f>
        <v>Q3 - Hyderabad</v>
      </c>
    </row>
    <row r="554" spans="1:19" x14ac:dyDescent="0.3">
      <c r="A554" t="s">
        <v>620</v>
      </c>
      <c r="B554" s="1">
        <v>45502</v>
      </c>
      <c r="C554" t="s">
        <v>546</v>
      </c>
      <c r="D554" t="s">
        <v>547</v>
      </c>
      <c r="E554" t="s">
        <v>15</v>
      </c>
      <c r="F554" t="s">
        <v>16</v>
      </c>
      <c r="G554" t="s">
        <v>41</v>
      </c>
      <c r="H554">
        <v>9</v>
      </c>
      <c r="I554">
        <v>340</v>
      </c>
      <c r="J554">
        <v>20</v>
      </c>
      <c r="K554">
        <v>2448</v>
      </c>
      <c r="L554" t="s">
        <v>92</v>
      </c>
      <c r="M554" s="2">
        <f>Table1[[#This Row],[Revenue_INR]]-Table1[[#This Row],[Price_INR]]</f>
        <v>2108</v>
      </c>
      <c r="N554">
        <f>YEAR(Table1[[#This Row],[Date]])</f>
        <v>2024</v>
      </c>
      <c r="O554" s="2">
        <f t="shared" si="32"/>
        <v>272</v>
      </c>
      <c r="P554" s="7">
        <f t="shared" si="33"/>
        <v>86.111111111111114</v>
      </c>
      <c r="Q554" s="2">
        <f t="shared" si="34"/>
        <v>612</v>
      </c>
      <c r="R554" s="5" t="str">
        <f t="shared" si="35"/>
        <v>Below Average</v>
      </c>
      <c r="S554" s="5" t="str">
        <f>Table1[[#This Row],[Quarter]]&amp;" - "&amp;Table1[[#This Row],[City]]</f>
        <v>Q3 - Kolkata</v>
      </c>
    </row>
    <row r="555" spans="1:19" x14ac:dyDescent="0.3">
      <c r="A555" t="s">
        <v>621</v>
      </c>
      <c r="B555" s="1">
        <v>45502</v>
      </c>
      <c r="C555" t="s">
        <v>546</v>
      </c>
      <c r="D555" t="s">
        <v>547</v>
      </c>
      <c r="E555" t="s">
        <v>15</v>
      </c>
      <c r="F555" t="s">
        <v>31</v>
      </c>
      <c r="G555" t="s">
        <v>35</v>
      </c>
      <c r="H555">
        <v>12</v>
      </c>
      <c r="I555">
        <v>1760</v>
      </c>
      <c r="J555">
        <v>5</v>
      </c>
      <c r="K555">
        <v>20064</v>
      </c>
      <c r="L555" t="s">
        <v>18</v>
      </c>
      <c r="M555" s="2">
        <f>Table1[[#This Row],[Revenue_INR]]-Table1[[#This Row],[Price_INR]]</f>
        <v>18304</v>
      </c>
      <c r="N555">
        <f>YEAR(Table1[[#This Row],[Date]])</f>
        <v>2024</v>
      </c>
      <c r="O555" s="2">
        <f t="shared" si="32"/>
        <v>1672</v>
      </c>
      <c r="P555" s="7">
        <f t="shared" si="33"/>
        <v>91.228070175438589</v>
      </c>
      <c r="Q555" s="2">
        <f t="shared" si="34"/>
        <v>1056</v>
      </c>
      <c r="R555" s="5" t="str">
        <f t="shared" si="35"/>
        <v>Below Average</v>
      </c>
      <c r="S555" s="5" t="str">
        <f>Table1[[#This Row],[Quarter]]&amp;" - "&amp;Table1[[#This Row],[City]]</f>
        <v>Q3 - Kolkata</v>
      </c>
    </row>
    <row r="556" spans="1:19" x14ac:dyDescent="0.3">
      <c r="A556" t="s">
        <v>622</v>
      </c>
      <c r="B556" s="1">
        <v>45502</v>
      </c>
      <c r="C556" t="s">
        <v>546</v>
      </c>
      <c r="D556" t="s">
        <v>547</v>
      </c>
      <c r="E556" t="s">
        <v>34</v>
      </c>
      <c r="F556" t="s">
        <v>21</v>
      </c>
      <c r="G556" t="s">
        <v>75</v>
      </c>
      <c r="H556">
        <v>15</v>
      </c>
      <c r="I556">
        <v>2870</v>
      </c>
      <c r="J556">
        <v>15</v>
      </c>
      <c r="K556">
        <v>36592.5</v>
      </c>
      <c r="L556" t="s">
        <v>49</v>
      </c>
      <c r="M556" s="2">
        <f>Table1[[#This Row],[Revenue_INR]]-Table1[[#This Row],[Price_INR]]</f>
        <v>33722.5</v>
      </c>
      <c r="N556">
        <f>YEAR(Table1[[#This Row],[Date]])</f>
        <v>2024</v>
      </c>
      <c r="O556" s="2">
        <f t="shared" si="32"/>
        <v>2439.5</v>
      </c>
      <c r="P556" s="7">
        <f t="shared" si="33"/>
        <v>92.156862745098039</v>
      </c>
      <c r="Q556" s="2">
        <f t="shared" si="34"/>
        <v>6457.5</v>
      </c>
      <c r="R556" s="5" t="str">
        <f t="shared" si="35"/>
        <v>Above Average</v>
      </c>
      <c r="S556" s="5" t="str">
        <f>Table1[[#This Row],[Quarter]]&amp;" - "&amp;Table1[[#This Row],[City]]</f>
        <v>Q3 - Delhi</v>
      </c>
    </row>
    <row r="557" spans="1:19" x14ac:dyDescent="0.3">
      <c r="A557" t="s">
        <v>623</v>
      </c>
      <c r="B557" s="1">
        <v>45502</v>
      </c>
      <c r="C557" t="s">
        <v>546</v>
      </c>
      <c r="D557" t="s">
        <v>547</v>
      </c>
      <c r="E557" t="s">
        <v>20</v>
      </c>
      <c r="F557" t="s">
        <v>16</v>
      </c>
      <c r="G557" t="s">
        <v>44</v>
      </c>
      <c r="H557">
        <v>8</v>
      </c>
      <c r="I557">
        <v>1600</v>
      </c>
      <c r="J557">
        <v>0</v>
      </c>
      <c r="K557">
        <v>12800</v>
      </c>
      <c r="L557" t="s">
        <v>23</v>
      </c>
      <c r="M557" s="2">
        <f>Table1[[#This Row],[Revenue_INR]]-Table1[[#This Row],[Price_INR]]</f>
        <v>11200</v>
      </c>
      <c r="N557">
        <f>YEAR(Table1[[#This Row],[Date]])</f>
        <v>2024</v>
      </c>
      <c r="O557" s="2">
        <f t="shared" si="32"/>
        <v>1600</v>
      </c>
      <c r="P557" s="7">
        <f t="shared" si="33"/>
        <v>87.5</v>
      </c>
      <c r="Q557" s="2">
        <f t="shared" si="34"/>
        <v>0</v>
      </c>
      <c r="R557" s="5" t="str">
        <f t="shared" si="35"/>
        <v>Below Average</v>
      </c>
      <c r="S557" s="5" t="str">
        <f>Table1[[#This Row],[Quarter]]&amp;" - "&amp;Table1[[#This Row],[City]]</f>
        <v>Q3 - Mumbai</v>
      </c>
    </row>
    <row r="558" spans="1:19" x14ac:dyDescent="0.3">
      <c r="A558" t="s">
        <v>624</v>
      </c>
      <c r="B558" s="1">
        <v>45503</v>
      </c>
      <c r="C558" t="s">
        <v>546</v>
      </c>
      <c r="D558" t="s">
        <v>547</v>
      </c>
      <c r="E558" t="s">
        <v>25</v>
      </c>
      <c r="F558" t="s">
        <v>21</v>
      </c>
      <c r="G558" t="s">
        <v>22</v>
      </c>
      <c r="H558">
        <v>13</v>
      </c>
      <c r="I558">
        <v>3430</v>
      </c>
      <c r="J558">
        <v>5</v>
      </c>
      <c r="K558">
        <v>42360.5</v>
      </c>
      <c r="L558" t="s">
        <v>42</v>
      </c>
      <c r="M558" s="2">
        <f>Table1[[#This Row],[Revenue_INR]]-Table1[[#This Row],[Price_INR]]</f>
        <v>38930.5</v>
      </c>
      <c r="N558">
        <f>YEAR(Table1[[#This Row],[Date]])</f>
        <v>2024</v>
      </c>
      <c r="O558" s="2">
        <f t="shared" si="32"/>
        <v>3258.5</v>
      </c>
      <c r="P558" s="7">
        <f t="shared" si="33"/>
        <v>91.902834008097173</v>
      </c>
      <c r="Q558" s="2">
        <f t="shared" si="34"/>
        <v>2229.5</v>
      </c>
      <c r="R558" s="5" t="str">
        <f t="shared" si="35"/>
        <v>Above Average</v>
      </c>
      <c r="S558" s="5" t="str">
        <f>Table1[[#This Row],[Quarter]]&amp;" - "&amp;Table1[[#This Row],[City]]</f>
        <v>Q3 - Hyderabad</v>
      </c>
    </row>
    <row r="559" spans="1:19" x14ac:dyDescent="0.3">
      <c r="A559" t="s">
        <v>625</v>
      </c>
      <c r="B559" s="1">
        <v>45503</v>
      </c>
      <c r="C559" t="s">
        <v>546</v>
      </c>
      <c r="D559" t="s">
        <v>547</v>
      </c>
      <c r="E559" t="s">
        <v>20</v>
      </c>
      <c r="F559" t="s">
        <v>60</v>
      </c>
      <c r="G559" t="s">
        <v>124</v>
      </c>
      <c r="H559">
        <v>7</v>
      </c>
      <c r="I559">
        <v>1430</v>
      </c>
      <c r="J559">
        <v>5</v>
      </c>
      <c r="K559">
        <v>9509.5</v>
      </c>
      <c r="L559" t="s">
        <v>23</v>
      </c>
      <c r="M559" s="2">
        <f>Table1[[#This Row],[Revenue_INR]]-Table1[[#This Row],[Price_INR]]</f>
        <v>8079.5</v>
      </c>
      <c r="N559">
        <f>YEAR(Table1[[#This Row],[Date]])</f>
        <v>2024</v>
      </c>
      <c r="O559" s="2">
        <f t="shared" si="32"/>
        <v>1358.5</v>
      </c>
      <c r="P559" s="7">
        <f t="shared" si="33"/>
        <v>84.962406015037601</v>
      </c>
      <c r="Q559" s="2">
        <f t="shared" si="34"/>
        <v>500.5</v>
      </c>
      <c r="R559" s="5" t="str">
        <f t="shared" si="35"/>
        <v>Below Average</v>
      </c>
      <c r="S559" s="5" t="str">
        <f>Table1[[#This Row],[Quarter]]&amp;" - "&amp;Table1[[#This Row],[City]]</f>
        <v>Q3 - Mumbai</v>
      </c>
    </row>
    <row r="560" spans="1:19" x14ac:dyDescent="0.3">
      <c r="A560" t="s">
        <v>626</v>
      </c>
      <c r="B560" s="1">
        <v>45503</v>
      </c>
      <c r="C560" t="s">
        <v>546</v>
      </c>
      <c r="D560" t="s">
        <v>547</v>
      </c>
      <c r="E560" t="s">
        <v>20</v>
      </c>
      <c r="F560" t="s">
        <v>16</v>
      </c>
      <c r="G560" t="s">
        <v>44</v>
      </c>
      <c r="H560">
        <v>15</v>
      </c>
      <c r="I560">
        <v>1460</v>
      </c>
      <c r="J560">
        <v>5</v>
      </c>
      <c r="K560">
        <v>20805</v>
      </c>
      <c r="L560" t="s">
        <v>23</v>
      </c>
      <c r="M560" s="2">
        <f>Table1[[#This Row],[Revenue_INR]]-Table1[[#This Row],[Price_INR]]</f>
        <v>19345</v>
      </c>
      <c r="N560">
        <f>YEAR(Table1[[#This Row],[Date]])</f>
        <v>2024</v>
      </c>
      <c r="O560" s="2">
        <f t="shared" si="32"/>
        <v>1387</v>
      </c>
      <c r="P560" s="7">
        <f t="shared" si="33"/>
        <v>92.982456140350877</v>
      </c>
      <c r="Q560" s="2">
        <f t="shared" si="34"/>
        <v>1095</v>
      </c>
      <c r="R560" s="5" t="str">
        <f t="shared" si="35"/>
        <v>Below Average</v>
      </c>
      <c r="S560" s="5" t="str">
        <f>Table1[[#This Row],[Quarter]]&amp;" - "&amp;Table1[[#This Row],[City]]</f>
        <v>Q3 - Mumbai</v>
      </c>
    </row>
    <row r="561" spans="1:19" x14ac:dyDescent="0.3">
      <c r="A561" t="s">
        <v>627</v>
      </c>
      <c r="B561" s="1">
        <v>45504</v>
      </c>
      <c r="C561" t="s">
        <v>546</v>
      </c>
      <c r="D561" t="s">
        <v>547</v>
      </c>
      <c r="E561" t="s">
        <v>15</v>
      </c>
      <c r="F561" t="s">
        <v>60</v>
      </c>
      <c r="G561" t="s">
        <v>61</v>
      </c>
      <c r="H561">
        <v>15</v>
      </c>
      <c r="I561">
        <v>1380</v>
      </c>
      <c r="J561">
        <v>10</v>
      </c>
      <c r="K561">
        <v>18630</v>
      </c>
      <c r="L561" t="s">
        <v>92</v>
      </c>
      <c r="M561" s="2">
        <f>Table1[[#This Row],[Revenue_INR]]-Table1[[#This Row],[Price_INR]]</f>
        <v>17250</v>
      </c>
      <c r="N561">
        <f>YEAR(Table1[[#This Row],[Date]])</f>
        <v>2024</v>
      </c>
      <c r="O561" s="2">
        <f t="shared" si="32"/>
        <v>1242</v>
      </c>
      <c r="P561" s="7">
        <f t="shared" si="33"/>
        <v>92.592592592592595</v>
      </c>
      <c r="Q561" s="2">
        <f t="shared" si="34"/>
        <v>2070</v>
      </c>
      <c r="R561" s="5" t="str">
        <f t="shared" si="35"/>
        <v>Below Average</v>
      </c>
      <c r="S561" s="5" t="str">
        <f>Table1[[#This Row],[Quarter]]&amp;" - "&amp;Table1[[#This Row],[City]]</f>
        <v>Q3 - Kolkata</v>
      </c>
    </row>
    <row r="562" spans="1:19" x14ac:dyDescent="0.3">
      <c r="A562" t="s">
        <v>628</v>
      </c>
      <c r="B562" s="1">
        <v>45504</v>
      </c>
      <c r="C562" t="s">
        <v>546</v>
      </c>
      <c r="D562" t="s">
        <v>547</v>
      </c>
      <c r="E562" t="s">
        <v>15</v>
      </c>
      <c r="F562" t="s">
        <v>21</v>
      </c>
      <c r="G562" t="s">
        <v>22</v>
      </c>
      <c r="H562">
        <v>5</v>
      </c>
      <c r="I562">
        <v>3130</v>
      </c>
      <c r="J562">
        <v>30</v>
      </c>
      <c r="K562">
        <v>10955</v>
      </c>
      <c r="L562" t="s">
        <v>53</v>
      </c>
      <c r="M562" s="2">
        <f>Table1[[#This Row],[Revenue_INR]]-Table1[[#This Row],[Price_INR]]</f>
        <v>7825</v>
      </c>
      <c r="N562">
        <f>YEAR(Table1[[#This Row],[Date]])</f>
        <v>2024</v>
      </c>
      <c r="O562" s="2">
        <f t="shared" si="32"/>
        <v>2191</v>
      </c>
      <c r="P562" s="7">
        <f t="shared" si="33"/>
        <v>71.428571428571431</v>
      </c>
      <c r="Q562" s="2">
        <f t="shared" si="34"/>
        <v>4695</v>
      </c>
      <c r="R562" s="5" t="str">
        <f t="shared" si="35"/>
        <v>Below Average</v>
      </c>
      <c r="S562" s="5" t="str">
        <f>Table1[[#This Row],[Quarter]]&amp;" - "&amp;Table1[[#This Row],[City]]</f>
        <v>Q3 - Kolkata</v>
      </c>
    </row>
    <row r="563" spans="1:19" x14ac:dyDescent="0.3">
      <c r="A563" t="s">
        <v>629</v>
      </c>
      <c r="B563" s="1">
        <v>45505</v>
      </c>
      <c r="C563" t="s">
        <v>630</v>
      </c>
      <c r="D563" t="s">
        <v>547</v>
      </c>
      <c r="E563" t="s">
        <v>20</v>
      </c>
      <c r="F563" t="s">
        <v>31</v>
      </c>
      <c r="G563" t="s">
        <v>35</v>
      </c>
      <c r="H563">
        <v>11</v>
      </c>
      <c r="I563">
        <v>3910</v>
      </c>
      <c r="J563">
        <v>25</v>
      </c>
      <c r="K563">
        <v>32257.5</v>
      </c>
      <c r="L563" t="s">
        <v>77</v>
      </c>
      <c r="M563" s="2">
        <f>Table1[[#This Row],[Revenue_INR]]-Table1[[#This Row],[Price_INR]]</f>
        <v>28347.5</v>
      </c>
      <c r="N563">
        <f>YEAR(Table1[[#This Row],[Date]])</f>
        <v>2024</v>
      </c>
      <c r="O563" s="2">
        <f t="shared" si="32"/>
        <v>2932.5</v>
      </c>
      <c r="P563" s="7">
        <f t="shared" si="33"/>
        <v>87.878787878787875</v>
      </c>
      <c r="Q563" s="2">
        <f t="shared" si="34"/>
        <v>10752.5</v>
      </c>
      <c r="R563" s="5" t="str">
        <f t="shared" si="35"/>
        <v>Above Average</v>
      </c>
      <c r="S563" s="5" t="str">
        <f>Table1[[#This Row],[Quarter]]&amp;" - "&amp;Table1[[#This Row],[City]]</f>
        <v>Q3 - Mumbai</v>
      </c>
    </row>
    <row r="564" spans="1:19" x14ac:dyDescent="0.3">
      <c r="A564" t="s">
        <v>631</v>
      </c>
      <c r="B564" s="1">
        <v>45505</v>
      </c>
      <c r="C564" t="s">
        <v>630</v>
      </c>
      <c r="D564" t="s">
        <v>547</v>
      </c>
      <c r="E564" t="s">
        <v>20</v>
      </c>
      <c r="F564" t="s">
        <v>21</v>
      </c>
      <c r="G564" t="s">
        <v>75</v>
      </c>
      <c r="H564">
        <v>10</v>
      </c>
      <c r="I564">
        <v>2710</v>
      </c>
      <c r="J564">
        <v>10</v>
      </c>
      <c r="K564">
        <v>24390</v>
      </c>
      <c r="L564" t="s">
        <v>77</v>
      </c>
      <c r="M564" s="2">
        <f>Table1[[#This Row],[Revenue_INR]]-Table1[[#This Row],[Price_INR]]</f>
        <v>21680</v>
      </c>
      <c r="N564">
        <f>YEAR(Table1[[#This Row],[Date]])</f>
        <v>2024</v>
      </c>
      <c r="O564" s="2">
        <f t="shared" si="32"/>
        <v>2439</v>
      </c>
      <c r="P564" s="7">
        <f t="shared" si="33"/>
        <v>88.888888888888886</v>
      </c>
      <c r="Q564" s="2">
        <f t="shared" si="34"/>
        <v>2710</v>
      </c>
      <c r="R564" s="5" t="str">
        <f t="shared" si="35"/>
        <v>Below Average</v>
      </c>
      <c r="S564" s="5" t="str">
        <f>Table1[[#This Row],[Quarter]]&amp;" - "&amp;Table1[[#This Row],[City]]</f>
        <v>Q3 - Mumbai</v>
      </c>
    </row>
    <row r="565" spans="1:19" x14ac:dyDescent="0.3">
      <c r="A565" t="s">
        <v>632</v>
      </c>
      <c r="B565" s="1">
        <v>45505</v>
      </c>
      <c r="C565" t="s">
        <v>630</v>
      </c>
      <c r="D565" t="s">
        <v>547</v>
      </c>
      <c r="E565" t="s">
        <v>20</v>
      </c>
      <c r="F565" t="s">
        <v>16</v>
      </c>
      <c r="G565" t="s">
        <v>17</v>
      </c>
      <c r="H565">
        <v>13</v>
      </c>
      <c r="I565">
        <v>2060</v>
      </c>
      <c r="J565">
        <v>20</v>
      </c>
      <c r="K565">
        <v>21424</v>
      </c>
      <c r="L565" t="s">
        <v>77</v>
      </c>
      <c r="M565" s="2">
        <f>Table1[[#This Row],[Revenue_INR]]-Table1[[#This Row],[Price_INR]]</f>
        <v>19364</v>
      </c>
      <c r="N565">
        <f>YEAR(Table1[[#This Row],[Date]])</f>
        <v>2024</v>
      </c>
      <c r="O565" s="2">
        <f t="shared" si="32"/>
        <v>1648</v>
      </c>
      <c r="P565" s="7">
        <f t="shared" si="33"/>
        <v>90.384615384615387</v>
      </c>
      <c r="Q565" s="2">
        <f t="shared" si="34"/>
        <v>5356</v>
      </c>
      <c r="R565" s="5" t="str">
        <f t="shared" si="35"/>
        <v>Below Average</v>
      </c>
      <c r="S565" s="5" t="str">
        <f>Table1[[#This Row],[Quarter]]&amp;" - "&amp;Table1[[#This Row],[City]]</f>
        <v>Q3 - Mumbai</v>
      </c>
    </row>
    <row r="566" spans="1:19" x14ac:dyDescent="0.3">
      <c r="A566" t="s">
        <v>633</v>
      </c>
      <c r="B566" s="1">
        <v>45505</v>
      </c>
      <c r="C566" t="s">
        <v>630</v>
      </c>
      <c r="D566" t="s">
        <v>547</v>
      </c>
      <c r="E566" t="s">
        <v>25</v>
      </c>
      <c r="F566" t="s">
        <v>60</v>
      </c>
      <c r="G566" t="s">
        <v>99</v>
      </c>
      <c r="H566">
        <v>10</v>
      </c>
      <c r="I566">
        <v>1650</v>
      </c>
      <c r="J566">
        <v>20</v>
      </c>
      <c r="K566">
        <v>13200</v>
      </c>
      <c r="L566" t="s">
        <v>28</v>
      </c>
      <c r="M566" s="2">
        <f>Table1[[#This Row],[Revenue_INR]]-Table1[[#This Row],[Price_INR]]</f>
        <v>11550</v>
      </c>
      <c r="N566">
        <f>YEAR(Table1[[#This Row],[Date]])</f>
        <v>2024</v>
      </c>
      <c r="O566" s="2">
        <f t="shared" si="32"/>
        <v>1320</v>
      </c>
      <c r="P566" s="7">
        <f t="shared" si="33"/>
        <v>87.5</v>
      </c>
      <c r="Q566" s="2">
        <f t="shared" si="34"/>
        <v>3300</v>
      </c>
      <c r="R566" s="5" t="str">
        <f t="shared" si="35"/>
        <v>Below Average</v>
      </c>
      <c r="S566" s="5" t="str">
        <f>Table1[[#This Row],[Quarter]]&amp;" - "&amp;Table1[[#This Row],[City]]</f>
        <v>Q3 - Hyderabad</v>
      </c>
    </row>
    <row r="567" spans="1:19" x14ac:dyDescent="0.3">
      <c r="A567" t="s">
        <v>634</v>
      </c>
      <c r="B567" s="1">
        <v>45505</v>
      </c>
      <c r="C567" t="s">
        <v>630</v>
      </c>
      <c r="D567" t="s">
        <v>547</v>
      </c>
      <c r="E567" t="s">
        <v>25</v>
      </c>
      <c r="F567" t="s">
        <v>26</v>
      </c>
      <c r="G567" t="s">
        <v>82</v>
      </c>
      <c r="H567">
        <v>15</v>
      </c>
      <c r="I567">
        <v>12010</v>
      </c>
      <c r="J567">
        <v>0</v>
      </c>
      <c r="K567">
        <v>180150</v>
      </c>
      <c r="L567" t="s">
        <v>42</v>
      </c>
      <c r="M567" s="2">
        <f>Table1[[#This Row],[Revenue_INR]]-Table1[[#This Row],[Price_INR]]</f>
        <v>168140</v>
      </c>
      <c r="N567">
        <f>YEAR(Table1[[#This Row],[Date]])</f>
        <v>2024</v>
      </c>
      <c r="O567" s="2">
        <f t="shared" si="32"/>
        <v>12010</v>
      </c>
      <c r="P567" s="7">
        <f t="shared" si="33"/>
        <v>93.333333333333329</v>
      </c>
      <c r="Q567" s="2">
        <f t="shared" si="34"/>
        <v>0</v>
      </c>
      <c r="R567" s="5" t="str">
        <f t="shared" si="35"/>
        <v>Above Average</v>
      </c>
      <c r="S567" s="5" t="str">
        <f>Table1[[#This Row],[Quarter]]&amp;" - "&amp;Table1[[#This Row],[City]]</f>
        <v>Q3 - Hyderabad</v>
      </c>
    </row>
    <row r="568" spans="1:19" x14ac:dyDescent="0.3">
      <c r="A568" t="s">
        <v>635</v>
      </c>
      <c r="B568" s="1">
        <v>45506</v>
      </c>
      <c r="C568" t="s">
        <v>630</v>
      </c>
      <c r="D568" t="s">
        <v>547</v>
      </c>
      <c r="E568" t="s">
        <v>25</v>
      </c>
      <c r="F568" t="s">
        <v>26</v>
      </c>
      <c r="G568" t="s">
        <v>80</v>
      </c>
      <c r="H568">
        <v>14</v>
      </c>
      <c r="I568">
        <v>11170</v>
      </c>
      <c r="J568">
        <v>20</v>
      </c>
      <c r="K568">
        <v>125104</v>
      </c>
      <c r="L568" t="s">
        <v>66</v>
      </c>
      <c r="M568" s="2">
        <f>Table1[[#This Row],[Revenue_INR]]-Table1[[#This Row],[Price_INR]]</f>
        <v>113934</v>
      </c>
      <c r="N568">
        <f>YEAR(Table1[[#This Row],[Date]])</f>
        <v>2024</v>
      </c>
      <c r="O568" s="2">
        <f t="shared" si="32"/>
        <v>8936</v>
      </c>
      <c r="P568" s="7">
        <f t="shared" si="33"/>
        <v>91.071428571428569</v>
      </c>
      <c r="Q568" s="2">
        <f t="shared" si="34"/>
        <v>31276</v>
      </c>
      <c r="R568" s="5" t="str">
        <f t="shared" si="35"/>
        <v>Above Average</v>
      </c>
      <c r="S568" s="5" t="str">
        <f>Table1[[#This Row],[Quarter]]&amp;" - "&amp;Table1[[#This Row],[City]]</f>
        <v>Q3 - Hyderabad</v>
      </c>
    </row>
    <row r="569" spans="1:19" x14ac:dyDescent="0.3">
      <c r="A569" t="s">
        <v>636</v>
      </c>
      <c r="B569" s="1">
        <v>45506</v>
      </c>
      <c r="C569" t="s">
        <v>630</v>
      </c>
      <c r="D569" t="s">
        <v>547</v>
      </c>
      <c r="E569" t="s">
        <v>25</v>
      </c>
      <c r="F569" t="s">
        <v>21</v>
      </c>
      <c r="G569" t="s">
        <v>22</v>
      </c>
      <c r="H569">
        <v>12</v>
      </c>
      <c r="I569">
        <v>1280</v>
      </c>
      <c r="J569">
        <v>0</v>
      </c>
      <c r="K569">
        <v>15360</v>
      </c>
      <c r="L569" t="s">
        <v>28</v>
      </c>
      <c r="M569" s="2">
        <f>Table1[[#This Row],[Revenue_INR]]-Table1[[#This Row],[Price_INR]]</f>
        <v>14080</v>
      </c>
      <c r="N569">
        <f>YEAR(Table1[[#This Row],[Date]])</f>
        <v>2024</v>
      </c>
      <c r="O569" s="2">
        <f t="shared" si="32"/>
        <v>1280</v>
      </c>
      <c r="P569" s="7">
        <f t="shared" si="33"/>
        <v>91.666666666666657</v>
      </c>
      <c r="Q569" s="2">
        <f t="shared" si="34"/>
        <v>0</v>
      </c>
      <c r="R569" s="5" t="str">
        <f t="shared" si="35"/>
        <v>Below Average</v>
      </c>
      <c r="S569" s="5" t="str">
        <f>Table1[[#This Row],[Quarter]]&amp;" - "&amp;Table1[[#This Row],[City]]</f>
        <v>Q3 - Hyderabad</v>
      </c>
    </row>
    <row r="570" spans="1:19" x14ac:dyDescent="0.3">
      <c r="A570" t="s">
        <v>637</v>
      </c>
      <c r="B570" s="1">
        <v>45506</v>
      </c>
      <c r="C570" t="s">
        <v>630</v>
      </c>
      <c r="D570" t="s">
        <v>547</v>
      </c>
      <c r="E570" t="s">
        <v>20</v>
      </c>
      <c r="F570" t="s">
        <v>26</v>
      </c>
      <c r="G570" t="s">
        <v>82</v>
      </c>
      <c r="H570">
        <v>12</v>
      </c>
      <c r="I570">
        <v>9730</v>
      </c>
      <c r="J570">
        <v>20</v>
      </c>
      <c r="K570">
        <v>93408</v>
      </c>
      <c r="L570" t="s">
        <v>39</v>
      </c>
      <c r="M570" s="2">
        <f>Table1[[#This Row],[Revenue_INR]]-Table1[[#This Row],[Price_INR]]</f>
        <v>83678</v>
      </c>
      <c r="N570">
        <f>YEAR(Table1[[#This Row],[Date]])</f>
        <v>2024</v>
      </c>
      <c r="O570" s="2">
        <f t="shared" si="32"/>
        <v>7784</v>
      </c>
      <c r="P570" s="7">
        <f t="shared" si="33"/>
        <v>89.583333333333343</v>
      </c>
      <c r="Q570" s="2">
        <f t="shared" si="34"/>
        <v>23352</v>
      </c>
      <c r="R570" s="5" t="str">
        <f t="shared" si="35"/>
        <v>Above Average</v>
      </c>
      <c r="S570" s="5" t="str">
        <f>Table1[[#This Row],[Quarter]]&amp;" - "&amp;Table1[[#This Row],[City]]</f>
        <v>Q3 - Mumbai</v>
      </c>
    </row>
    <row r="571" spans="1:19" x14ac:dyDescent="0.3">
      <c r="A571" t="s">
        <v>638</v>
      </c>
      <c r="B571" s="1">
        <v>45506</v>
      </c>
      <c r="C571" t="s">
        <v>630</v>
      </c>
      <c r="D571" t="s">
        <v>547</v>
      </c>
      <c r="E571" t="s">
        <v>20</v>
      </c>
      <c r="F571" t="s">
        <v>31</v>
      </c>
      <c r="G571" t="s">
        <v>38</v>
      </c>
      <c r="H571">
        <v>14</v>
      </c>
      <c r="I571">
        <v>4770</v>
      </c>
      <c r="J571">
        <v>30</v>
      </c>
      <c r="K571">
        <v>46746</v>
      </c>
      <c r="L571" t="s">
        <v>77</v>
      </c>
      <c r="M571" s="2">
        <f>Table1[[#This Row],[Revenue_INR]]-Table1[[#This Row],[Price_INR]]</f>
        <v>41976</v>
      </c>
      <c r="N571">
        <f>YEAR(Table1[[#This Row],[Date]])</f>
        <v>2024</v>
      </c>
      <c r="O571" s="2">
        <f t="shared" si="32"/>
        <v>3339</v>
      </c>
      <c r="P571" s="7">
        <f t="shared" si="33"/>
        <v>89.795918367346943</v>
      </c>
      <c r="Q571" s="2">
        <f t="shared" si="34"/>
        <v>20034</v>
      </c>
      <c r="R571" s="5" t="str">
        <f t="shared" si="35"/>
        <v>Above Average</v>
      </c>
      <c r="S571" s="5" t="str">
        <f>Table1[[#This Row],[Quarter]]&amp;" - "&amp;Table1[[#This Row],[City]]</f>
        <v>Q3 - Mumbai</v>
      </c>
    </row>
    <row r="572" spans="1:19" x14ac:dyDescent="0.3">
      <c r="A572" t="s">
        <v>639</v>
      </c>
      <c r="B572" s="1">
        <v>45507</v>
      </c>
      <c r="C572" t="s">
        <v>630</v>
      </c>
      <c r="D572" t="s">
        <v>547</v>
      </c>
      <c r="E572" t="s">
        <v>34</v>
      </c>
      <c r="F572" t="s">
        <v>31</v>
      </c>
      <c r="G572" t="s">
        <v>32</v>
      </c>
      <c r="H572">
        <v>14</v>
      </c>
      <c r="I572">
        <v>2930</v>
      </c>
      <c r="J572">
        <v>20</v>
      </c>
      <c r="K572">
        <v>32816</v>
      </c>
      <c r="L572" t="s">
        <v>49</v>
      </c>
      <c r="M572" s="2">
        <f>Table1[[#This Row],[Revenue_INR]]-Table1[[#This Row],[Price_INR]]</f>
        <v>29886</v>
      </c>
      <c r="N572">
        <f>YEAR(Table1[[#This Row],[Date]])</f>
        <v>2024</v>
      </c>
      <c r="O572" s="2">
        <f t="shared" si="32"/>
        <v>2344</v>
      </c>
      <c r="P572" s="7">
        <f t="shared" si="33"/>
        <v>91.071428571428569</v>
      </c>
      <c r="Q572" s="2">
        <f t="shared" si="34"/>
        <v>8204</v>
      </c>
      <c r="R572" s="5" t="str">
        <f t="shared" si="35"/>
        <v>Above Average</v>
      </c>
      <c r="S572" s="5" t="str">
        <f>Table1[[#This Row],[Quarter]]&amp;" - "&amp;Table1[[#This Row],[City]]</f>
        <v>Q3 - Delhi</v>
      </c>
    </row>
    <row r="573" spans="1:19" x14ac:dyDescent="0.3">
      <c r="A573" t="s">
        <v>640</v>
      </c>
      <c r="B573" s="1">
        <v>45507</v>
      </c>
      <c r="C573" t="s">
        <v>630</v>
      </c>
      <c r="D573" t="s">
        <v>547</v>
      </c>
      <c r="E573" t="s">
        <v>34</v>
      </c>
      <c r="F573" t="s">
        <v>60</v>
      </c>
      <c r="G573" t="s">
        <v>85</v>
      </c>
      <c r="H573">
        <v>3</v>
      </c>
      <c r="I573">
        <v>1100</v>
      </c>
      <c r="J573">
        <v>25</v>
      </c>
      <c r="K573">
        <v>2475</v>
      </c>
      <c r="L573" t="s">
        <v>36</v>
      </c>
      <c r="M573" s="2">
        <f>Table1[[#This Row],[Revenue_INR]]-Table1[[#This Row],[Price_INR]]</f>
        <v>1375</v>
      </c>
      <c r="N573">
        <f>YEAR(Table1[[#This Row],[Date]])</f>
        <v>2024</v>
      </c>
      <c r="O573" s="2">
        <f t="shared" si="32"/>
        <v>825</v>
      </c>
      <c r="P573" s="7">
        <f t="shared" si="33"/>
        <v>55.555555555555557</v>
      </c>
      <c r="Q573" s="2">
        <f t="shared" si="34"/>
        <v>825</v>
      </c>
      <c r="R573" s="5" t="str">
        <f t="shared" si="35"/>
        <v>Below Average</v>
      </c>
      <c r="S573" s="5" t="str">
        <f>Table1[[#This Row],[Quarter]]&amp;" - "&amp;Table1[[#This Row],[City]]</f>
        <v>Q3 - Delhi</v>
      </c>
    </row>
    <row r="574" spans="1:19" x14ac:dyDescent="0.3">
      <c r="A574" t="s">
        <v>641</v>
      </c>
      <c r="B574" s="1">
        <v>45508</v>
      </c>
      <c r="C574" t="s">
        <v>630</v>
      </c>
      <c r="D574" t="s">
        <v>547</v>
      </c>
      <c r="E574" t="s">
        <v>15</v>
      </c>
      <c r="F574" t="s">
        <v>21</v>
      </c>
      <c r="G574" t="s">
        <v>94</v>
      </c>
      <c r="H574">
        <v>11</v>
      </c>
      <c r="I574">
        <v>1450</v>
      </c>
      <c r="J574">
        <v>5</v>
      </c>
      <c r="K574">
        <v>15152.5</v>
      </c>
      <c r="L574" t="s">
        <v>53</v>
      </c>
      <c r="M574" s="2">
        <f>Table1[[#This Row],[Revenue_INR]]-Table1[[#This Row],[Price_INR]]</f>
        <v>13702.5</v>
      </c>
      <c r="N574">
        <f>YEAR(Table1[[#This Row],[Date]])</f>
        <v>2024</v>
      </c>
      <c r="O574" s="2">
        <f t="shared" si="32"/>
        <v>1377.5</v>
      </c>
      <c r="P574" s="7">
        <f t="shared" si="33"/>
        <v>90.430622009569376</v>
      </c>
      <c r="Q574" s="2">
        <f t="shared" si="34"/>
        <v>797.5</v>
      </c>
      <c r="R574" s="5" t="str">
        <f t="shared" si="35"/>
        <v>Below Average</v>
      </c>
      <c r="S574" s="5" t="str">
        <f>Table1[[#This Row],[Quarter]]&amp;" - "&amp;Table1[[#This Row],[City]]</f>
        <v>Q3 - Kolkata</v>
      </c>
    </row>
    <row r="575" spans="1:19" x14ac:dyDescent="0.3">
      <c r="A575" t="s">
        <v>642</v>
      </c>
      <c r="B575" s="1">
        <v>45510</v>
      </c>
      <c r="C575" t="s">
        <v>630</v>
      </c>
      <c r="D575" t="s">
        <v>547</v>
      </c>
      <c r="E575" t="s">
        <v>15</v>
      </c>
      <c r="F575" t="s">
        <v>16</v>
      </c>
      <c r="G575" t="s">
        <v>69</v>
      </c>
      <c r="H575">
        <v>15</v>
      </c>
      <c r="I575">
        <v>2020</v>
      </c>
      <c r="J575">
        <v>10</v>
      </c>
      <c r="K575">
        <v>27270</v>
      </c>
      <c r="L575" t="s">
        <v>18</v>
      </c>
      <c r="M575" s="2">
        <f>Table1[[#This Row],[Revenue_INR]]-Table1[[#This Row],[Price_INR]]</f>
        <v>25250</v>
      </c>
      <c r="N575">
        <f>YEAR(Table1[[#This Row],[Date]])</f>
        <v>2024</v>
      </c>
      <c r="O575" s="2">
        <f t="shared" si="32"/>
        <v>1818</v>
      </c>
      <c r="P575" s="7">
        <f t="shared" si="33"/>
        <v>92.592592592592595</v>
      </c>
      <c r="Q575" s="2">
        <f t="shared" si="34"/>
        <v>3030</v>
      </c>
      <c r="R575" s="5" t="str">
        <f t="shared" si="35"/>
        <v>Above Average</v>
      </c>
      <c r="S575" s="5" t="str">
        <f>Table1[[#This Row],[Quarter]]&amp;" - "&amp;Table1[[#This Row],[City]]</f>
        <v>Q3 - Kolkata</v>
      </c>
    </row>
    <row r="576" spans="1:19" x14ac:dyDescent="0.3">
      <c r="A576" t="s">
        <v>643</v>
      </c>
      <c r="B576" s="1">
        <v>45510</v>
      </c>
      <c r="C576" t="s">
        <v>630</v>
      </c>
      <c r="D576" t="s">
        <v>547</v>
      </c>
      <c r="E576" t="s">
        <v>20</v>
      </c>
      <c r="F576" t="s">
        <v>16</v>
      </c>
      <c r="G576" t="s">
        <v>17</v>
      </c>
      <c r="H576">
        <v>12</v>
      </c>
      <c r="I576">
        <v>1370</v>
      </c>
      <c r="J576">
        <v>30</v>
      </c>
      <c r="K576">
        <v>11508</v>
      </c>
      <c r="L576" t="s">
        <v>23</v>
      </c>
      <c r="M576" s="2">
        <f>Table1[[#This Row],[Revenue_INR]]-Table1[[#This Row],[Price_INR]]</f>
        <v>10138</v>
      </c>
      <c r="N576">
        <f>YEAR(Table1[[#This Row],[Date]])</f>
        <v>2024</v>
      </c>
      <c r="O576" s="2">
        <f t="shared" si="32"/>
        <v>959</v>
      </c>
      <c r="P576" s="7">
        <f t="shared" si="33"/>
        <v>88.095238095238088</v>
      </c>
      <c r="Q576" s="2">
        <f t="shared" si="34"/>
        <v>4932</v>
      </c>
      <c r="R576" s="5" t="str">
        <f t="shared" si="35"/>
        <v>Below Average</v>
      </c>
      <c r="S576" s="5" t="str">
        <f>Table1[[#This Row],[Quarter]]&amp;" - "&amp;Table1[[#This Row],[City]]</f>
        <v>Q3 - Mumbai</v>
      </c>
    </row>
    <row r="577" spans="1:19" x14ac:dyDescent="0.3">
      <c r="A577" t="s">
        <v>644</v>
      </c>
      <c r="B577" s="1">
        <v>45510</v>
      </c>
      <c r="C577" t="s">
        <v>630</v>
      </c>
      <c r="D577" t="s">
        <v>547</v>
      </c>
      <c r="E577" t="s">
        <v>15</v>
      </c>
      <c r="F577" t="s">
        <v>26</v>
      </c>
      <c r="G577" t="s">
        <v>82</v>
      </c>
      <c r="H577">
        <v>10</v>
      </c>
      <c r="I577">
        <v>6300</v>
      </c>
      <c r="J577">
        <v>5</v>
      </c>
      <c r="K577">
        <v>59850</v>
      </c>
      <c r="L577" t="s">
        <v>53</v>
      </c>
      <c r="M577" s="2">
        <f>Table1[[#This Row],[Revenue_INR]]-Table1[[#This Row],[Price_INR]]</f>
        <v>53550</v>
      </c>
      <c r="N577">
        <f>YEAR(Table1[[#This Row],[Date]])</f>
        <v>2024</v>
      </c>
      <c r="O577" s="2">
        <f t="shared" si="32"/>
        <v>5985</v>
      </c>
      <c r="P577" s="7">
        <f t="shared" si="33"/>
        <v>89.473684210526315</v>
      </c>
      <c r="Q577" s="2">
        <f t="shared" si="34"/>
        <v>3150</v>
      </c>
      <c r="R577" s="5" t="str">
        <f t="shared" si="35"/>
        <v>Above Average</v>
      </c>
      <c r="S577" s="5" t="str">
        <f>Table1[[#This Row],[Quarter]]&amp;" - "&amp;Table1[[#This Row],[City]]</f>
        <v>Q3 - Kolkata</v>
      </c>
    </row>
    <row r="578" spans="1:19" x14ac:dyDescent="0.3">
      <c r="A578" t="s">
        <v>645</v>
      </c>
      <c r="B578" s="1">
        <v>45510</v>
      </c>
      <c r="C578" t="s">
        <v>630</v>
      </c>
      <c r="D578" t="s">
        <v>547</v>
      </c>
      <c r="E578" t="s">
        <v>15</v>
      </c>
      <c r="F578" t="s">
        <v>16</v>
      </c>
      <c r="G578" t="s">
        <v>17</v>
      </c>
      <c r="H578">
        <v>15</v>
      </c>
      <c r="I578">
        <v>2640</v>
      </c>
      <c r="J578">
        <v>5</v>
      </c>
      <c r="K578">
        <v>37620</v>
      </c>
      <c r="L578" t="s">
        <v>53</v>
      </c>
      <c r="M578" s="2">
        <f>Table1[[#This Row],[Revenue_INR]]-Table1[[#This Row],[Price_INR]]</f>
        <v>34980</v>
      </c>
      <c r="N578">
        <f>YEAR(Table1[[#This Row],[Date]])</f>
        <v>2024</v>
      </c>
      <c r="O578" s="2">
        <f t="shared" ref="O578:O641" si="36">K578/H578</f>
        <v>2508</v>
      </c>
      <c r="P578" s="7">
        <f t="shared" ref="P578:P641" si="37">M578/K578*100</f>
        <v>92.982456140350877</v>
      </c>
      <c r="Q578" s="2">
        <f t="shared" ref="Q578:Q641" si="38">I578*H578*J578/100</f>
        <v>1980</v>
      </c>
      <c r="R578" s="5" t="str">
        <f t="shared" ref="R578:R641" si="39">IF(K578&gt;AVERAGE($K$2:$K$1001),"Above Average","Below Average")</f>
        <v>Above Average</v>
      </c>
      <c r="S578" s="5" t="str">
        <f>Table1[[#This Row],[Quarter]]&amp;" - "&amp;Table1[[#This Row],[City]]</f>
        <v>Q3 - Kolkata</v>
      </c>
    </row>
    <row r="579" spans="1:19" x14ac:dyDescent="0.3">
      <c r="A579" t="s">
        <v>646</v>
      </c>
      <c r="B579" s="1">
        <v>45512</v>
      </c>
      <c r="C579" t="s">
        <v>630</v>
      </c>
      <c r="D579" t="s">
        <v>547</v>
      </c>
      <c r="E579" t="s">
        <v>25</v>
      </c>
      <c r="F579" t="s">
        <v>47</v>
      </c>
      <c r="G579" t="s">
        <v>102</v>
      </c>
      <c r="H579">
        <v>2</v>
      </c>
      <c r="I579">
        <v>3330</v>
      </c>
      <c r="J579">
        <v>25</v>
      </c>
      <c r="K579">
        <v>4995</v>
      </c>
      <c r="L579" t="s">
        <v>28</v>
      </c>
      <c r="M579" s="2">
        <f>Table1[[#This Row],[Revenue_INR]]-Table1[[#This Row],[Price_INR]]</f>
        <v>1665</v>
      </c>
      <c r="N579">
        <f>YEAR(Table1[[#This Row],[Date]])</f>
        <v>2024</v>
      </c>
      <c r="O579" s="2">
        <f t="shared" si="36"/>
        <v>2497.5</v>
      </c>
      <c r="P579" s="7">
        <f t="shared" si="37"/>
        <v>33.333333333333329</v>
      </c>
      <c r="Q579" s="2">
        <f t="shared" si="38"/>
        <v>1665</v>
      </c>
      <c r="R579" s="5" t="str">
        <f t="shared" si="39"/>
        <v>Below Average</v>
      </c>
      <c r="S579" s="5" t="str">
        <f>Table1[[#This Row],[Quarter]]&amp;" - "&amp;Table1[[#This Row],[City]]</f>
        <v>Q3 - Hyderabad</v>
      </c>
    </row>
    <row r="580" spans="1:19" x14ac:dyDescent="0.3">
      <c r="A580" t="s">
        <v>647</v>
      </c>
      <c r="B580" s="1">
        <v>45514</v>
      </c>
      <c r="C580" t="s">
        <v>630</v>
      </c>
      <c r="D580" t="s">
        <v>547</v>
      </c>
      <c r="E580" t="s">
        <v>15</v>
      </c>
      <c r="F580" t="s">
        <v>16</v>
      </c>
      <c r="G580" t="s">
        <v>17</v>
      </c>
      <c r="H580">
        <v>7</v>
      </c>
      <c r="I580">
        <v>2220</v>
      </c>
      <c r="J580">
        <v>15</v>
      </c>
      <c r="K580">
        <v>13209</v>
      </c>
      <c r="L580" t="s">
        <v>18</v>
      </c>
      <c r="M580" s="2">
        <f>Table1[[#This Row],[Revenue_INR]]-Table1[[#This Row],[Price_INR]]</f>
        <v>10989</v>
      </c>
      <c r="N580">
        <f>YEAR(Table1[[#This Row],[Date]])</f>
        <v>2024</v>
      </c>
      <c r="O580" s="2">
        <f t="shared" si="36"/>
        <v>1887</v>
      </c>
      <c r="P580" s="7">
        <f t="shared" si="37"/>
        <v>83.193277310924373</v>
      </c>
      <c r="Q580" s="2">
        <f t="shared" si="38"/>
        <v>2331</v>
      </c>
      <c r="R580" s="5" t="str">
        <f t="shared" si="39"/>
        <v>Below Average</v>
      </c>
      <c r="S580" s="5" t="str">
        <f>Table1[[#This Row],[Quarter]]&amp;" - "&amp;Table1[[#This Row],[City]]</f>
        <v>Q3 - Kolkata</v>
      </c>
    </row>
    <row r="581" spans="1:19" x14ac:dyDescent="0.3">
      <c r="A581" t="s">
        <v>648</v>
      </c>
      <c r="B581" s="1">
        <v>45514</v>
      </c>
      <c r="C581" t="s">
        <v>630</v>
      </c>
      <c r="D581" t="s">
        <v>547</v>
      </c>
      <c r="E581" t="s">
        <v>15</v>
      </c>
      <c r="F581" t="s">
        <v>60</v>
      </c>
      <c r="G581" t="s">
        <v>85</v>
      </c>
      <c r="H581">
        <v>12</v>
      </c>
      <c r="I581">
        <v>1620</v>
      </c>
      <c r="J581">
        <v>25</v>
      </c>
      <c r="K581">
        <v>14580</v>
      </c>
      <c r="L581" t="s">
        <v>18</v>
      </c>
      <c r="M581" s="2">
        <f>Table1[[#This Row],[Revenue_INR]]-Table1[[#This Row],[Price_INR]]</f>
        <v>12960</v>
      </c>
      <c r="N581">
        <f>YEAR(Table1[[#This Row],[Date]])</f>
        <v>2024</v>
      </c>
      <c r="O581" s="2">
        <f t="shared" si="36"/>
        <v>1215</v>
      </c>
      <c r="P581" s="7">
        <f t="shared" si="37"/>
        <v>88.888888888888886</v>
      </c>
      <c r="Q581" s="2">
        <f t="shared" si="38"/>
        <v>4860</v>
      </c>
      <c r="R581" s="5" t="str">
        <f t="shared" si="39"/>
        <v>Below Average</v>
      </c>
      <c r="S581" s="5" t="str">
        <f>Table1[[#This Row],[Quarter]]&amp;" - "&amp;Table1[[#This Row],[City]]</f>
        <v>Q3 - Kolkata</v>
      </c>
    </row>
    <row r="582" spans="1:19" x14ac:dyDescent="0.3">
      <c r="A582" t="s">
        <v>649</v>
      </c>
      <c r="B582" s="1">
        <v>45514</v>
      </c>
      <c r="C582" t="s">
        <v>630</v>
      </c>
      <c r="D582" t="s">
        <v>547</v>
      </c>
      <c r="E582" t="s">
        <v>25</v>
      </c>
      <c r="F582" t="s">
        <v>47</v>
      </c>
      <c r="G582" t="s">
        <v>102</v>
      </c>
      <c r="H582">
        <v>3</v>
      </c>
      <c r="I582">
        <v>5320</v>
      </c>
      <c r="J582">
        <v>20</v>
      </c>
      <c r="K582">
        <v>12768</v>
      </c>
      <c r="L582" t="s">
        <v>42</v>
      </c>
      <c r="M582" s="2">
        <f>Table1[[#This Row],[Revenue_INR]]-Table1[[#This Row],[Price_INR]]</f>
        <v>7448</v>
      </c>
      <c r="N582">
        <f>YEAR(Table1[[#This Row],[Date]])</f>
        <v>2024</v>
      </c>
      <c r="O582" s="2">
        <f t="shared" si="36"/>
        <v>4256</v>
      </c>
      <c r="P582" s="7">
        <f t="shared" si="37"/>
        <v>58.333333333333336</v>
      </c>
      <c r="Q582" s="2">
        <f t="shared" si="38"/>
        <v>3192</v>
      </c>
      <c r="R582" s="5" t="str">
        <f t="shared" si="39"/>
        <v>Below Average</v>
      </c>
      <c r="S582" s="5" t="str">
        <f>Table1[[#This Row],[Quarter]]&amp;" - "&amp;Table1[[#This Row],[City]]</f>
        <v>Q3 - Hyderabad</v>
      </c>
    </row>
    <row r="583" spans="1:19" x14ac:dyDescent="0.3">
      <c r="A583" t="s">
        <v>650</v>
      </c>
      <c r="B583" s="1">
        <v>45515</v>
      </c>
      <c r="C583" t="s">
        <v>630</v>
      </c>
      <c r="D583" t="s">
        <v>547</v>
      </c>
      <c r="E583" t="s">
        <v>20</v>
      </c>
      <c r="F583" t="s">
        <v>21</v>
      </c>
      <c r="G583" t="s">
        <v>94</v>
      </c>
      <c r="H583">
        <v>9</v>
      </c>
      <c r="I583">
        <v>2010</v>
      </c>
      <c r="J583">
        <v>5</v>
      </c>
      <c r="K583">
        <v>17185.5</v>
      </c>
      <c r="L583" t="s">
        <v>39</v>
      </c>
      <c r="M583" s="2">
        <f>Table1[[#This Row],[Revenue_INR]]-Table1[[#This Row],[Price_INR]]</f>
        <v>15175.5</v>
      </c>
      <c r="N583">
        <f>YEAR(Table1[[#This Row],[Date]])</f>
        <v>2024</v>
      </c>
      <c r="O583" s="2">
        <f t="shared" si="36"/>
        <v>1909.5</v>
      </c>
      <c r="P583" s="7">
        <f t="shared" si="37"/>
        <v>88.304093567251456</v>
      </c>
      <c r="Q583" s="2">
        <f t="shared" si="38"/>
        <v>904.5</v>
      </c>
      <c r="R583" s="5" t="str">
        <f t="shared" si="39"/>
        <v>Below Average</v>
      </c>
      <c r="S583" s="5" t="str">
        <f>Table1[[#This Row],[Quarter]]&amp;" - "&amp;Table1[[#This Row],[City]]</f>
        <v>Q3 - Mumbai</v>
      </c>
    </row>
    <row r="584" spans="1:19" x14ac:dyDescent="0.3">
      <c r="A584" t="s">
        <v>651</v>
      </c>
      <c r="B584" s="1">
        <v>45516</v>
      </c>
      <c r="C584" t="s">
        <v>630</v>
      </c>
      <c r="D584" t="s">
        <v>547</v>
      </c>
      <c r="E584" t="s">
        <v>25</v>
      </c>
      <c r="F584" t="s">
        <v>60</v>
      </c>
      <c r="G584" t="s">
        <v>85</v>
      </c>
      <c r="H584">
        <v>11</v>
      </c>
      <c r="I584">
        <v>2210</v>
      </c>
      <c r="J584">
        <v>30</v>
      </c>
      <c r="K584">
        <v>17017</v>
      </c>
      <c r="L584" t="s">
        <v>42</v>
      </c>
      <c r="M584" s="2">
        <f>Table1[[#This Row],[Revenue_INR]]-Table1[[#This Row],[Price_INR]]</f>
        <v>14807</v>
      </c>
      <c r="N584">
        <f>YEAR(Table1[[#This Row],[Date]])</f>
        <v>2024</v>
      </c>
      <c r="O584" s="2">
        <f t="shared" si="36"/>
        <v>1547</v>
      </c>
      <c r="P584" s="7">
        <f t="shared" si="37"/>
        <v>87.012987012987011</v>
      </c>
      <c r="Q584" s="2">
        <f t="shared" si="38"/>
        <v>7293</v>
      </c>
      <c r="R584" s="5" t="str">
        <f t="shared" si="39"/>
        <v>Below Average</v>
      </c>
      <c r="S584" s="5" t="str">
        <f>Table1[[#This Row],[Quarter]]&amp;" - "&amp;Table1[[#This Row],[City]]</f>
        <v>Q3 - Hyderabad</v>
      </c>
    </row>
    <row r="585" spans="1:19" x14ac:dyDescent="0.3">
      <c r="A585" t="s">
        <v>652</v>
      </c>
      <c r="B585" s="1">
        <v>45516</v>
      </c>
      <c r="C585" t="s">
        <v>630</v>
      </c>
      <c r="D585" t="s">
        <v>547</v>
      </c>
      <c r="E585" t="s">
        <v>25</v>
      </c>
      <c r="F585" t="s">
        <v>16</v>
      </c>
      <c r="G585" t="s">
        <v>44</v>
      </c>
      <c r="H585">
        <v>2</v>
      </c>
      <c r="I585">
        <v>2340</v>
      </c>
      <c r="J585">
        <v>5</v>
      </c>
      <c r="K585">
        <v>4446</v>
      </c>
      <c r="L585" t="s">
        <v>66</v>
      </c>
      <c r="M585" s="2">
        <f>Table1[[#This Row],[Revenue_INR]]-Table1[[#This Row],[Price_INR]]</f>
        <v>2106</v>
      </c>
      <c r="N585">
        <f>YEAR(Table1[[#This Row],[Date]])</f>
        <v>2024</v>
      </c>
      <c r="O585" s="2">
        <f t="shared" si="36"/>
        <v>2223</v>
      </c>
      <c r="P585" s="7">
        <f t="shared" si="37"/>
        <v>47.368421052631575</v>
      </c>
      <c r="Q585" s="2">
        <f t="shared" si="38"/>
        <v>234</v>
      </c>
      <c r="R585" s="5" t="str">
        <f t="shared" si="39"/>
        <v>Below Average</v>
      </c>
      <c r="S585" s="5" t="str">
        <f>Table1[[#This Row],[Quarter]]&amp;" - "&amp;Table1[[#This Row],[City]]</f>
        <v>Q3 - Hyderabad</v>
      </c>
    </row>
    <row r="586" spans="1:19" x14ac:dyDescent="0.3">
      <c r="A586" t="s">
        <v>653</v>
      </c>
      <c r="B586" s="1">
        <v>45516</v>
      </c>
      <c r="C586" t="s">
        <v>630</v>
      </c>
      <c r="D586" t="s">
        <v>547</v>
      </c>
      <c r="E586" t="s">
        <v>20</v>
      </c>
      <c r="F586" t="s">
        <v>26</v>
      </c>
      <c r="G586" t="s">
        <v>82</v>
      </c>
      <c r="H586">
        <v>12</v>
      </c>
      <c r="I586">
        <v>1950</v>
      </c>
      <c r="J586">
        <v>15</v>
      </c>
      <c r="K586">
        <v>19890</v>
      </c>
      <c r="L586" t="s">
        <v>77</v>
      </c>
      <c r="M586" s="2">
        <f>Table1[[#This Row],[Revenue_INR]]-Table1[[#This Row],[Price_INR]]</f>
        <v>17940</v>
      </c>
      <c r="N586">
        <f>YEAR(Table1[[#This Row],[Date]])</f>
        <v>2024</v>
      </c>
      <c r="O586" s="2">
        <f t="shared" si="36"/>
        <v>1657.5</v>
      </c>
      <c r="P586" s="7">
        <f t="shared" si="37"/>
        <v>90.196078431372555</v>
      </c>
      <c r="Q586" s="2">
        <f t="shared" si="38"/>
        <v>3510</v>
      </c>
      <c r="R586" s="5" t="str">
        <f t="shared" si="39"/>
        <v>Below Average</v>
      </c>
      <c r="S586" s="5" t="str">
        <f>Table1[[#This Row],[Quarter]]&amp;" - "&amp;Table1[[#This Row],[City]]</f>
        <v>Q3 - Mumbai</v>
      </c>
    </row>
    <row r="587" spans="1:19" x14ac:dyDescent="0.3">
      <c r="A587" t="s">
        <v>654</v>
      </c>
      <c r="B587" s="1">
        <v>45517</v>
      </c>
      <c r="C587" t="s">
        <v>630</v>
      </c>
      <c r="D587" t="s">
        <v>547</v>
      </c>
      <c r="E587" t="s">
        <v>15</v>
      </c>
      <c r="F587" t="s">
        <v>31</v>
      </c>
      <c r="G587" t="s">
        <v>35</v>
      </c>
      <c r="H587">
        <v>1</v>
      </c>
      <c r="I587">
        <v>1360</v>
      </c>
      <c r="J587">
        <v>5</v>
      </c>
      <c r="K587">
        <v>1292</v>
      </c>
      <c r="L587" t="s">
        <v>53</v>
      </c>
      <c r="M587" s="2">
        <f>Table1[[#This Row],[Revenue_INR]]-Table1[[#This Row],[Price_INR]]</f>
        <v>-68</v>
      </c>
      <c r="N587">
        <f>YEAR(Table1[[#This Row],[Date]])</f>
        <v>2024</v>
      </c>
      <c r="O587" s="2">
        <f t="shared" si="36"/>
        <v>1292</v>
      </c>
      <c r="P587" s="7">
        <f t="shared" si="37"/>
        <v>-5.2631578947368416</v>
      </c>
      <c r="Q587" s="2">
        <f t="shared" si="38"/>
        <v>68</v>
      </c>
      <c r="R587" s="5" t="str">
        <f t="shared" si="39"/>
        <v>Below Average</v>
      </c>
      <c r="S587" s="5" t="str">
        <f>Table1[[#This Row],[Quarter]]&amp;" - "&amp;Table1[[#This Row],[City]]</f>
        <v>Q3 - Kolkata</v>
      </c>
    </row>
    <row r="588" spans="1:19" x14ac:dyDescent="0.3">
      <c r="A588" t="s">
        <v>655</v>
      </c>
      <c r="B588" s="1">
        <v>45517</v>
      </c>
      <c r="C588" t="s">
        <v>630</v>
      </c>
      <c r="D588" t="s">
        <v>547</v>
      </c>
      <c r="E588" t="s">
        <v>15</v>
      </c>
      <c r="F588" t="s">
        <v>60</v>
      </c>
      <c r="G588" t="s">
        <v>61</v>
      </c>
      <c r="H588">
        <v>8</v>
      </c>
      <c r="I588">
        <v>1690</v>
      </c>
      <c r="J588">
        <v>15</v>
      </c>
      <c r="K588">
        <v>11492</v>
      </c>
      <c r="L588" t="s">
        <v>53</v>
      </c>
      <c r="M588" s="2">
        <f>Table1[[#This Row],[Revenue_INR]]-Table1[[#This Row],[Price_INR]]</f>
        <v>9802</v>
      </c>
      <c r="N588">
        <f>YEAR(Table1[[#This Row],[Date]])</f>
        <v>2024</v>
      </c>
      <c r="O588" s="2">
        <f t="shared" si="36"/>
        <v>1436.5</v>
      </c>
      <c r="P588" s="7">
        <f t="shared" si="37"/>
        <v>85.294117647058826</v>
      </c>
      <c r="Q588" s="2">
        <f t="shared" si="38"/>
        <v>2028</v>
      </c>
      <c r="R588" s="5" t="str">
        <f t="shared" si="39"/>
        <v>Below Average</v>
      </c>
      <c r="S588" s="5" t="str">
        <f>Table1[[#This Row],[Quarter]]&amp;" - "&amp;Table1[[#This Row],[City]]</f>
        <v>Q3 - Kolkata</v>
      </c>
    </row>
    <row r="589" spans="1:19" x14ac:dyDescent="0.3">
      <c r="A589" t="s">
        <v>656</v>
      </c>
      <c r="B589" s="1">
        <v>45517</v>
      </c>
      <c r="C589" t="s">
        <v>630</v>
      </c>
      <c r="D589" t="s">
        <v>547</v>
      </c>
      <c r="E589" t="s">
        <v>25</v>
      </c>
      <c r="F589" t="s">
        <v>60</v>
      </c>
      <c r="G589" t="s">
        <v>61</v>
      </c>
      <c r="H589">
        <v>10</v>
      </c>
      <c r="I589">
        <v>2490</v>
      </c>
      <c r="J589">
        <v>5</v>
      </c>
      <c r="K589">
        <v>23655</v>
      </c>
      <c r="L589" t="s">
        <v>28</v>
      </c>
      <c r="M589" s="2">
        <f>Table1[[#This Row],[Revenue_INR]]-Table1[[#This Row],[Price_INR]]</f>
        <v>21165</v>
      </c>
      <c r="N589">
        <f>YEAR(Table1[[#This Row],[Date]])</f>
        <v>2024</v>
      </c>
      <c r="O589" s="2">
        <f t="shared" si="36"/>
        <v>2365.5</v>
      </c>
      <c r="P589" s="7">
        <f t="shared" si="37"/>
        <v>89.473684210526315</v>
      </c>
      <c r="Q589" s="2">
        <f t="shared" si="38"/>
        <v>1245</v>
      </c>
      <c r="R589" s="5" t="str">
        <f t="shared" si="39"/>
        <v>Below Average</v>
      </c>
      <c r="S589" s="5" t="str">
        <f>Table1[[#This Row],[Quarter]]&amp;" - "&amp;Table1[[#This Row],[City]]</f>
        <v>Q3 - Hyderabad</v>
      </c>
    </row>
    <row r="590" spans="1:19" x14ac:dyDescent="0.3">
      <c r="A590" t="s">
        <v>657</v>
      </c>
      <c r="B590" s="1">
        <v>45517</v>
      </c>
      <c r="C590" t="s">
        <v>630</v>
      </c>
      <c r="D590" t="s">
        <v>547</v>
      </c>
      <c r="E590" t="s">
        <v>34</v>
      </c>
      <c r="F590" t="s">
        <v>60</v>
      </c>
      <c r="G590" t="s">
        <v>99</v>
      </c>
      <c r="H590">
        <v>7</v>
      </c>
      <c r="I590">
        <v>1430</v>
      </c>
      <c r="J590">
        <v>25</v>
      </c>
      <c r="K590">
        <v>7507.5</v>
      </c>
      <c r="L590" t="s">
        <v>49</v>
      </c>
      <c r="M590" s="2">
        <f>Table1[[#This Row],[Revenue_INR]]-Table1[[#This Row],[Price_INR]]</f>
        <v>6077.5</v>
      </c>
      <c r="N590">
        <f>YEAR(Table1[[#This Row],[Date]])</f>
        <v>2024</v>
      </c>
      <c r="O590" s="2">
        <f t="shared" si="36"/>
        <v>1072.5</v>
      </c>
      <c r="P590" s="7">
        <f t="shared" si="37"/>
        <v>80.952380952380949</v>
      </c>
      <c r="Q590" s="2">
        <f t="shared" si="38"/>
        <v>2502.5</v>
      </c>
      <c r="R590" s="5" t="str">
        <f t="shared" si="39"/>
        <v>Below Average</v>
      </c>
      <c r="S590" s="5" t="str">
        <f>Table1[[#This Row],[Quarter]]&amp;" - "&amp;Table1[[#This Row],[City]]</f>
        <v>Q3 - Delhi</v>
      </c>
    </row>
    <row r="591" spans="1:19" x14ac:dyDescent="0.3">
      <c r="A591" t="s">
        <v>658</v>
      </c>
      <c r="B591" s="1">
        <v>45518</v>
      </c>
      <c r="C591" t="s">
        <v>630</v>
      </c>
      <c r="D591" t="s">
        <v>547</v>
      </c>
      <c r="E591" t="s">
        <v>20</v>
      </c>
      <c r="F591" t="s">
        <v>31</v>
      </c>
      <c r="G591" t="s">
        <v>32</v>
      </c>
      <c r="H591">
        <v>10</v>
      </c>
      <c r="I591">
        <v>5940</v>
      </c>
      <c r="J591">
        <v>30</v>
      </c>
      <c r="K591">
        <v>41580</v>
      </c>
      <c r="L591" t="s">
        <v>77</v>
      </c>
      <c r="M591" s="2">
        <f>Table1[[#This Row],[Revenue_INR]]-Table1[[#This Row],[Price_INR]]</f>
        <v>35640</v>
      </c>
      <c r="N591">
        <f>YEAR(Table1[[#This Row],[Date]])</f>
        <v>2024</v>
      </c>
      <c r="O591" s="2">
        <f t="shared" si="36"/>
        <v>4158</v>
      </c>
      <c r="P591" s="7">
        <f t="shared" si="37"/>
        <v>85.714285714285708</v>
      </c>
      <c r="Q591" s="2">
        <f t="shared" si="38"/>
        <v>17820</v>
      </c>
      <c r="R591" s="5" t="str">
        <f t="shared" si="39"/>
        <v>Above Average</v>
      </c>
      <c r="S591" s="5" t="str">
        <f>Table1[[#This Row],[Quarter]]&amp;" - "&amp;Table1[[#This Row],[City]]</f>
        <v>Q3 - Mumbai</v>
      </c>
    </row>
    <row r="592" spans="1:19" x14ac:dyDescent="0.3">
      <c r="A592" t="s">
        <v>659</v>
      </c>
      <c r="B592" s="1">
        <v>45518</v>
      </c>
      <c r="C592" t="s">
        <v>630</v>
      </c>
      <c r="D592" t="s">
        <v>547</v>
      </c>
      <c r="E592" t="s">
        <v>34</v>
      </c>
      <c r="F592" t="s">
        <v>16</v>
      </c>
      <c r="G592" t="s">
        <v>17</v>
      </c>
      <c r="H592">
        <v>2</v>
      </c>
      <c r="I592">
        <v>710</v>
      </c>
      <c r="J592">
        <v>15</v>
      </c>
      <c r="K592">
        <v>1207</v>
      </c>
      <c r="L592" t="s">
        <v>36</v>
      </c>
      <c r="M592" s="2">
        <f>Table1[[#This Row],[Revenue_INR]]-Table1[[#This Row],[Price_INR]]</f>
        <v>497</v>
      </c>
      <c r="N592">
        <f>YEAR(Table1[[#This Row],[Date]])</f>
        <v>2024</v>
      </c>
      <c r="O592" s="2">
        <f t="shared" si="36"/>
        <v>603.5</v>
      </c>
      <c r="P592" s="7">
        <f t="shared" si="37"/>
        <v>41.17647058823529</v>
      </c>
      <c r="Q592" s="2">
        <f t="shared" si="38"/>
        <v>213</v>
      </c>
      <c r="R592" s="5" t="str">
        <f t="shared" si="39"/>
        <v>Below Average</v>
      </c>
      <c r="S592" s="5" t="str">
        <f>Table1[[#This Row],[Quarter]]&amp;" - "&amp;Table1[[#This Row],[City]]</f>
        <v>Q3 - Delhi</v>
      </c>
    </row>
    <row r="593" spans="1:19" x14ac:dyDescent="0.3">
      <c r="A593" t="s">
        <v>660</v>
      </c>
      <c r="B593" s="1">
        <v>45518</v>
      </c>
      <c r="C593" t="s">
        <v>630</v>
      </c>
      <c r="D593" t="s">
        <v>547</v>
      </c>
      <c r="E593" t="s">
        <v>25</v>
      </c>
      <c r="F593" t="s">
        <v>16</v>
      </c>
      <c r="G593" t="s">
        <v>44</v>
      </c>
      <c r="H593">
        <v>10</v>
      </c>
      <c r="I593">
        <v>2780</v>
      </c>
      <c r="J593">
        <v>25</v>
      </c>
      <c r="K593">
        <v>20850</v>
      </c>
      <c r="L593" t="s">
        <v>42</v>
      </c>
      <c r="M593" s="2">
        <f>Table1[[#This Row],[Revenue_INR]]-Table1[[#This Row],[Price_INR]]</f>
        <v>18070</v>
      </c>
      <c r="N593">
        <f>YEAR(Table1[[#This Row],[Date]])</f>
        <v>2024</v>
      </c>
      <c r="O593" s="2">
        <f t="shared" si="36"/>
        <v>2085</v>
      </c>
      <c r="P593" s="7">
        <f t="shared" si="37"/>
        <v>86.666666666666671</v>
      </c>
      <c r="Q593" s="2">
        <f t="shared" si="38"/>
        <v>6950</v>
      </c>
      <c r="R593" s="5" t="str">
        <f t="shared" si="39"/>
        <v>Below Average</v>
      </c>
      <c r="S593" s="5" t="str">
        <f>Table1[[#This Row],[Quarter]]&amp;" - "&amp;Table1[[#This Row],[City]]</f>
        <v>Q3 - Hyderabad</v>
      </c>
    </row>
    <row r="594" spans="1:19" x14ac:dyDescent="0.3">
      <c r="A594" t="s">
        <v>661</v>
      </c>
      <c r="B594" s="1">
        <v>45518</v>
      </c>
      <c r="C594" t="s">
        <v>630</v>
      </c>
      <c r="D594" t="s">
        <v>547</v>
      </c>
      <c r="E594" t="s">
        <v>20</v>
      </c>
      <c r="F594" t="s">
        <v>21</v>
      </c>
      <c r="G594" t="s">
        <v>71</v>
      </c>
      <c r="H594">
        <v>7</v>
      </c>
      <c r="I594">
        <v>2800</v>
      </c>
      <c r="J594">
        <v>30</v>
      </c>
      <c r="K594">
        <v>13720</v>
      </c>
      <c r="L594" t="s">
        <v>23</v>
      </c>
      <c r="M594" s="2">
        <f>Table1[[#This Row],[Revenue_INR]]-Table1[[#This Row],[Price_INR]]</f>
        <v>10920</v>
      </c>
      <c r="N594">
        <f>YEAR(Table1[[#This Row],[Date]])</f>
        <v>2024</v>
      </c>
      <c r="O594" s="2">
        <f t="shared" si="36"/>
        <v>1960</v>
      </c>
      <c r="P594" s="7">
        <f t="shared" si="37"/>
        <v>79.591836734693871</v>
      </c>
      <c r="Q594" s="2">
        <f t="shared" si="38"/>
        <v>5880</v>
      </c>
      <c r="R594" s="5" t="str">
        <f t="shared" si="39"/>
        <v>Below Average</v>
      </c>
      <c r="S594" s="5" t="str">
        <f>Table1[[#This Row],[Quarter]]&amp;" - "&amp;Table1[[#This Row],[City]]</f>
        <v>Q3 - Mumbai</v>
      </c>
    </row>
    <row r="595" spans="1:19" x14ac:dyDescent="0.3">
      <c r="A595" t="s">
        <v>662</v>
      </c>
      <c r="B595" s="1">
        <v>45518</v>
      </c>
      <c r="C595" t="s">
        <v>630</v>
      </c>
      <c r="D595" t="s">
        <v>547</v>
      </c>
      <c r="E595" t="s">
        <v>15</v>
      </c>
      <c r="F595" t="s">
        <v>26</v>
      </c>
      <c r="G595" t="s">
        <v>27</v>
      </c>
      <c r="H595">
        <v>9</v>
      </c>
      <c r="I595">
        <v>9060</v>
      </c>
      <c r="J595">
        <v>20</v>
      </c>
      <c r="K595">
        <v>65232</v>
      </c>
      <c r="L595" t="s">
        <v>53</v>
      </c>
      <c r="M595" s="2">
        <f>Table1[[#This Row],[Revenue_INR]]-Table1[[#This Row],[Price_INR]]</f>
        <v>56172</v>
      </c>
      <c r="N595">
        <f>YEAR(Table1[[#This Row],[Date]])</f>
        <v>2024</v>
      </c>
      <c r="O595" s="2">
        <f t="shared" si="36"/>
        <v>7248</v>
      </c>
      <c r="P595" s="7">
        <f t="shared" si="37"/>
        <v>86.111111111111114</v>
      </c>
      <c r="Q595" s="2">
        <f t="shared" si="38"/>
        <v>16308</v>
      </c>
      <c r="R595" s="5" t="str">
        <f t="shared" si="39"/>
        <v>Above Average</v>
      </c>
      <c r="S595" s="5" t="str">
        <f>Table1[[#This Row],[Quarter]]&amp;" - "&amp;Table1[[#This Row],[City]]</f>
        <v>Q3 - Kolkata</v>
      </c>
    </row>
    <row r="596" spans="1:19" x14ac:dyDescent="0.3">
      <c r="A596" t="s">
        <v>663</v>
      </c>
      <c r="B596" s="1">
        <v>45518</v>
      </c>
      <c r="C596" t="s">
        <v>630</v>
      </c>
      <c r="D596" t="s">
        <v>547</v>
      </c>
      <c r="E596" t="s">
        <v>15</v>
      </c>
      <c r="F596" t="s">
        <v>31</v>
      </c>
      <c r="G596" t="s">
        <v>38</v>
      </c>
      <c r="H596">
        <v>3</v>
      </c>
      <c r="I596">
        <v>4450</v>
      </c>
      <c r="J596">
        <v>30</v>
      </c>
      <c r="K596">
        <v>9345</v>
      </c>
      <c r="L596" t="s">
        <v>18</v>
      </c>
      <c r="M596" s="2">
        <f>Table1[[#This Row],[Revenue_INR]]-Table1[[#This Row],[Price_INR]]</f>
        <v>4895</v>
      </c>
      <c r="N596">
        <f>YEAR(Table1[[#This Row],[Date]])</f>
        <v>2024</v>
      </c>
      <c r="O596" s="2">
        <f t="shared" si="36"/>
        <v>3115</v>
      </c>
      <c r="P596" s="7">
        <f t="shared" si="37"/>
        <v>52.380952380952387</v>
      </c>
      <c r="Q596" s="2">
        <f t="shared" si="38"/>
        <v>4005</v>
      </c>
      <c r="R596" s="5" t="str">
        <f t="shared" si="39"/>
        <v>Below Average</v>
      </c>
      <c r="S596" s="5" t="str">
        <f>Table1[[#This Row],[Quarter]]&amp;" - "&amp;Table1[[#This Row],[City]]</f>
        <v>Q3 - Kolkata</v>
      </c>
    </row>
    <row r="597" spans="1:19" x14ac:dyDescent="0.3">
      <c r="A597" t="s">
        <v>664</v>
      </c>
      <c r="B597" s="1">
        <v>45518</v>
      </c>
      <c r="C597" t="s">
        <v>630</v>
      </c>
      <c r="D597" t="s">
        <v>547</v>
      </c>
      <c r="E597" t="s">
        <v>25</v>
      </c>
      <c r="F597" t="s">
        <v>26</v>
      </c>
      <c r="G597" t="s">
        <v>58</v>
      </c>
      <c r="H597">
        <v>11</v>
      </c>
      <c r="I597">
        <v>4010</v>
      </c>
      <c r="J597">
        <v>0</v>
      </c>
      <c r="K597">
        <v>44110</v>
      </c>
      <c r="L597" t="s">
        <v>66</v>
      </c>
      <c r="M597" s="2">
        <f>Table1[[#This Row],[Revenue_INR]]-Table1[[#This Row],[Price_INR]]</f>
        <v>40100</v>
      </c>
      <c r="N597">
        <f>YEAR(Table1[[#This Row],[Date]])</f>
        <v>2024</v>
      </c>
      <c r="O597" s="2">
        <f t="shared" si="36"/>
        <v>4010</v>
      </c>
      <c r="P597" s="7">
        <f t="shared" si="37"/>
        <v>90.909090909090907</v>
      </c>
      <c r="Q597" s="2">
        <f t="shared" si="38"/>
        <v>0</v>
      </c>
      <c r="R597" s="5" t="str">
        <f t="shared" si="39"/>
        <v>Above Average</v>
      </c>
      <c r="S597" s="5" t="str">
        <f>Table1[[#This Row],[Quarter]]&amp;" - "&amp;Table1[[#This Row],[City]]</f>
        <v>Q3 - Hyderabad</v>
      </c>
    </row>
    <row r="598" spans="1:19" x14ac:dyDescent="0.3">
      <c r="A598" t="s">
        <v>665</v>
      </c>
      <c r="B598" s="1">
        <v>45518</v>
      </c>
      <c r="C598" t="s">
        <v>630</v>
      </c>
      <c r="D598" t="s">
        <v>547</v>
      </c>
      <c r="E598" t="s">
        <v>20</v>
      </c>
      <c r="F598" t="s">
        <v>47</v>
      </c>
      <c r="G598" t="s">
        <v>48</v>
      </c>
      <c r="H598">
        <v>3</v>
      </c>
      <c r="I598">
        <v>6740</v>
      </c>
      <c r="J598">
        <v>0</v>
      </c>
      <c r="K598">
        <v>20220</v>
      </c>
      <c r="L598" t="s">
        <v>23</v>
      </c>
      <c r="M598" s="2">
        <f>Table1[[#This Row],[Revenue_INR]]-Table1[[#This Row],[Price_INR]]</f>
        <v>13480</v>
      </c>
      <c r="N598">
        <f>YEAR(Table1[[#This Row],[Date]])</f>
        <v>2024</v>
      </c>
      <c r="O598" s="2">
        <f t="shared" si="36"/>
        <v>6740</v>
      </c>
      <c r="P598" s="7">
        <f t="shared" si="37"/>
        <v>66.666666666666657</v>
      </c>
      <c r="Q598" s="2">
        <f t="shared" si="38"/>
        <v>0</v>
      </c>
      <c r="R598" s="5" t="str">
        <f t="shared" si="39"/>
        <v>Below Average</v>
      </c>
      <c r="S598" s="5" t="str">
        <f>Table1[[#This Row],[Quarter]]&amp;" - "&amp;Table1[[#This Row],[City]]</f>
        <v>Q3 - Mumbai</v>
      </c>
    </row>
    <row r="599" spans="1:19" x14ac:dyDescent="0.3">
      <c r="A599" t="s">
        <v>666</v>
      </c>
      <c r="B599" s="1">
        <v>45518</v>
      </c>
      <c r="C599" t="s">
        <v>630</v>
      </c>
      <c r="D599" t="s">
        <v>547</v>
      </c>
      <c r="E599" t="s">
        <v>34</v>
      </c>
      <c r="F599" t="s">
        <v>60</v>
      </c>
      <c r="G599" t="s">
        <v>99</v>
      </c>
      <c r="H599">
        <v>2</v>
      </c>
      <c r="I599">
        <v>2410</v>
      </c>
      <c r="J599">
        <v>10</v>
      </c>
      <c r="K599">
        <v>4338</v>
      </c>
      <c r="L599" t="s">
        <v>36</v>
      </c>
      <c r="M599" s="2">
        <f>Table1[[#This Row],[Revenue_INR]]-Table1[[#This Row],[Price_INR]]</f>
        <v>1928</v>
      </c>
      <c r="N599">
        <f>YEAR(Table1[[#This Row],[Date]])</f>
        <v>2024</v>
      </c>
      <c r="O599" s="2">
        <f t="shared" si="36"/>
        <v>2169</v>
      </c>
      <c r="P599" s="7">
        <f t="shared" si="37"/>
        <v>44.444444444444443</v>
      </c>
      <c r="Q599" s="2">
        <f t="shared" si="38"/>
        <v>482</v>
      </c>
      <c r="R599" s="5" t="str">
        <f t="shared" si="39"/>
        <v>Below Average</v>
      </c>
      <c r="S599" s="5" t="str">
        <f>Table1[[#This Row],[Quarter]]&amp;" - "&amp;Table1[[#This Row],[City]]</f>
        <v>Q3 - Delhi</v>
      </c>
    </row>
    <row r="600" spans="1:19" x14ac:dyDescent="0.3">
      <c r="A600" t="s">
        <v>667</v>
      </c>
      <c r="B600" s="1">
        <v>45518</v>
      </c>
      <c r="C600" t="s">
        <v>630</v>
      </c>
      <c r="D600" t="s">
        <v>547</v>
      </c>
      <c r="E600" t="s">
        <v>20</v>
      </c>
      <c r="F600" t="s">
        <v>31</v>
      </c>
      <c r="G600" t="s">
        <v>35</v>
      </c>
      <c r="H600">
        <v>8</v>
      </c>
      <c r="I600">
        <v>4310</v>
      </c>
      <c r="J600">
        <v>20</v>
      </c>
      <c r="K600">
        <v>27584</v>
      </c>
      <c r="L600" t="s">
        <v>23</v>
      </c>
      <c r="M600" s="2">
        <f>Table1[[#This Row],[Revenue_INR]]-Table1[[#This Row],[Price_INR]]</f>
        <v>23274</v>
      </c>
      <c r="N600">
        <f>YEAR(Table1[[#This Row],[Date]])</f>
        <v>2024</v>
      </c>
      <c r="O600" s="2">
        <f t="shared" si="36"/>
        <v>3448</v>
      </c>
      <c r="P600" s="7">
        <f t="shared" si="37"/>
        <v>84.375</v>
      </c>
      <c r="Q600" s="2">
        <f t="shared" si="38"/>
        <v>6896</v>
      </c>
      <c r="R600" s="5" t="str">
        <f t="shared" si="39"/>
        <v>Above Average</v>
      </c>
      <c r="S600" s="5" t="str">
        <f>Table1[[#This Row],[Quarter]]&amp;" - "&amp;Table1[[#This Row],[City]]</f>
        <v>Q3 - Mumbai</v>
      </c>
    </row>
    <row r="601" spans="1:19" x14ac:dyDescent="0.3">
      <c r="A601" t="s">
        <v>668</v>
      </c>
      <c r="B601" s="1">
        <v>45518</v>
      </c>
      <c r="C601" t="s">
        <v>630</v>
      </c>
      <c r="D601" t="s">
        <v>547</v>
      </c>
      <c r="E601" t="s">
        <v>20</v>
      </c>
      <c r="F601" t="s">
        <v>60</v>
      </c>
      <c r="G601" t="s">
        <v>99</v>
      </c>
      <c r="H601">
        <v>14</v>
      </c>
      <c r="I601">
        <v>980</v>
      </c>
      <c r="J601">
        <v>30</v>
      </c>
      <c r="K601">
        <v>9604</v>
      </c>
      <c r="L601" t="s">
        <v>39</v>
      </c>
      <c r="M601" s="2">
        <f>Table1[[#This Row],[Revenue_INR]]-Table1[[#This Row],[Price_INR]]</f>
        <v>8624</v>
      </c>
      <c r="N601">
        <f>YEAR(Table1[[#This Row],[Date]])</f>
        <v>2024</v>
      </c>
      <c r="O601" s="2">
        <f t="shared" si="36"/>
        <v>686</v>
      </c>
      <c r="P601" s="7">
        <f t="shared" si="37"/>
        <v>89.795918367346943</v>
      </c>
      <c r="Q601" s="2">
        <f t="shared" si="38"/>
        <v>4116</v>
      </c>
      <c r="R601" s="5" t="str">
        <f t="shared" si="39"/>
        <v>Below Average</v>
      </c>
      <c r="S601" s="5" t="str">
        <f>Table1[[#This Row],[Quarter]]&amp;" - "&amp;Table1[[#This Row],[City]]</f>
        <v>Q3 - Mumbai</v>
      </c>
    </row>
    <row r="602" spans="1:19" x14ac:dyDescent="0.3">
      <c r="A602" t="s">
        <v>669</v>
      </c>
      <c r="B602" s="1">
        <v>45519</v>
      </c>
      <c r="C602" t="s">
        <v>630</v>
      </c>
      <c r="D602" t="s">
        <v>547</v>
      </c>
      <c r="E602" t="s">
        <v>15</v>
      </c>
      <c r="F602" t="s">
        <v>60</v>
      </c>
      <c r="G602" t="s">
        <v>124</v>
      </c>
      <c r="H602">
        <v>12</v>
      </c>
      <c r="I602">
        <v>1290</v>
      </c>
      <c r="J602">
        <v>5</v>
      </c>
      <c r="K602">
        <v>14706</v>
      </c>
      <c r="L602" t="s">
        <v>18</v>
      </c>
      <c r="M602" s="2">
        <f>Table1[[#This Row],[Revenue_INR]]-Table1[[#This Row],[Price_INR]]</f>
        <v>13416</v>
      </c>
      <c r="N602">
        <f>YEAR(Table1[[#This Row],[Date]])</f>
        <v>2024</v>
      </c>
      <c r="O602" s="2">
        <f t="shared" si="36"/>
        <v>1225.5</v>
      </c>
      <c r="P602" s="7">
        <f t="shared" si="37"/>
        <v>91.228070175438589</v>
      </c>
      <c r="Q602" s="2">
        <f t="shared" si="38"/>
        <v>774</v>
      </c>
      <c r="R602" s="5" t="str">
        <f t="shared" si="39"/>
        <v>Below Average</v>
      </c>
      <c r="S602" s="5" t="str">
        <f>Table1[[#This Row],[Quarter]]&amp;" - "&amp;Table1[[#This Row],[City]]</f>
        <v>Q3 - Kolkata</v>
      </c>
    </row>
    <row r="603" spans="1:19" x14ac:dyDescent="0.3">
      <c r="A603" t="s">
        <v>670</v>
      </c>
      <c r="B603" s="1">
        <v>45519</v>
      </c>
      <c r="C603" t="s">
        <v>630</v>
      </c>
      <c r="D603" t="s">
        <v>547</v>
      </c>
      <c r="E603" t="s">
        <v>15</v>
      </c>
      <c r="F603" t="s">
        <v>31</v>
      </c>
      <c r="G603" t="s">
        <v>131</v>
      </c>
      <c r="H603">
        <v>4</v>
      </c>
      <c r="I603">
        <v>4450</v>
      </c>
      <c r="J603">
        <v>15</v>
      </c>
      <c r="K603">
        <v>15130</v>
      </c>
      <c r="L603" t="s">
        <v>92</v>
      </c>
      <c r="M603" s="2">
        <f>Table1[[#This Row],[Revenue_INR]]-Table1[[#This Row],[Price_INR]]</f>
        <v>10680</v>
      </c>
      <c r="N603">
        <f>YEAR(Table1[[#This Row],[Date]])</f>
        <v>2024</v>
      </c>
      <c r="O603" s="2">
        <f t="shared" si="36"/>
        <v>3782.5</v>
      </c>
      <c r="P603" s="7">
        <f t="shared" si="37"/>
        <v>70.588235294117652</v>
      </c>
      <c r="Q603" s="2">
        <f t="shared" si="38"/>
        <v>2670</v>
      </c>
      <c r="R603" s="5" t="str">
        <f t="shared" si="39"/>
        <v>Below Average</v>
      </c>
      <c r="S603" s="5" t="str">
        <f>Table1[[#This Row],[Quarter]]&amp;" - "&amp;Table1[[#This Row],[City]]</f>
        <v>Q3 - Kolkata</v>
      </c>
    </row>
    <row r="604" spans="1:19" x14ac:dyDescent="0.3">
      <c r="A604" t="s">
        <v>671</v>
      </c>
      <c r="B604" s="1">
        <v>45519</v>
      </c>
      <c r="C604" t="s">
        <v>630</v>
      </c>
      <c r="D604" t="s">
        <v>547</v>
      </c>
      <c r="E604" t="s">
        <v>25</v>
      </c>
      <c r="F604" t="s">
        <v>60</v>
      </c>
      <c r="G604" t="s">
        <v>85</v>
      </c>
      <c r="H604">
        <v>8</v>
      </c>
      <c r="I604">
        <v>2220</v>
      </c>
      <c r="J604">
        <v>5</v>
      </c>
      <c r="K604">
        <v>16872</v>
      </c>
      <c r="L604" t="s">
        <v>42</v>
      </c>
      <c r="M604" s="2">
        <f>Table1[[#This Row],[Revenue_INR]]-Table1[[#This Row],[Price_INR]]</f>
        <v>14652</v>
      </c>
      <c r="N604">
        <f>YEAR(Table1[[#This Row],[Date]])</f>
        <v>2024</v>
      </c>
      <c r="O604" s="2">
        <f t="shared" si="36"/>
        <v>2109</v>
      </c>
      <c r="P604" s="7">
        <f t="shared" si="37"/>
        <v>86.842105263157904</v>
      </c>
      <c r="Q604" s="2">
        <f t="shared" si="38"/>
        <v>888</v>
      </c>
      <c r="R604" s="5" t="str">
        <f t="shared" si="39"/>
        <v>Below Average</v>
      </c>
      <c r="S604" s="5" t="str">
        <f>Table1[[#This Row],[Quarter]]&amp;" - "&amp;Table1[[#This Row],[City]]</f>
        <v>Q3 - Hyderabad</v>
      </c>
    </row>
    <row r="605" spans="1:19" x14ac:dyDescent="0.3">
      <c r="A605" t="s">
        <v>672</v>
      </c>
      <c r="B605" s="1">
        <v>45519</v>
      </c>
      <c r="C605" t="s">
        <v>630</v>
      </c>
      <c r="D605" t="s">
        <v>547</v>
      </c>
      <c r="E605" t="s">
        <v>20</v>
      </c>
      <c r="F605" t="s">
        <v>26</v>
      </c>
      <c r="G605" t="s">
        <v>82</v>
      </c>
      <c r="H605">
        <v>6</v>
      </c>
      <c r="I605">
        <v>9310</v>
      </c>
      <c r="J605">
        <v>10</v>
      </c>
      <c r="K605">
        <v>50274</v>
      </c>
      <c r="L605" t="s">
        <v>39</v>
      </c>
      <c r="M605" s="2">
        <f>Table1[[#This Row],[Revenue_INR]]-Table1[[#This Row],[Price_INR]]</f>
        <v>40964</v>
      </c>
      <c r="N605">
        <f>YEAR(Table1[[#This Row],[Date]])</f>
        <v>2024</v>
      </c>
      <c r="O605" s="2">
        <f t="shared" si="36"/>
        <v>8379</v>
      </c>
      <c r="P605" s="7">
        <f t="shared" si="37"/>
        <v>81.481481481481481</v>
      </c>
      <c r="Q605" s="2">
        <f t="shared" si="38"/>
        <v>5586</v>
      </c>
      <c r="R605" s="5" t="str">
        <f t="shared" si="39"/>
        <v>Above Average</v>
      </c>
      <c r="S605" s="5" t="str">
        <f>Table1[[#This Row],[Quarter]]&amp;" - "&amp;Table1[[#This Row],[City]]</f>
        <v>Q3 - Mumbai</v>
      </c>
    </row>
    <row r="606" spans="1:19" x14ac:dyDescent="0.3">
      <c r="A606" t="s">
        <v>673</v>
      </c>
      <c r="B606" s="1">
        <v>45520</v>
      </c>
      <c r="C606" t="s">
        <v>630</v>
      </c>
      <c r="D606" t="s">
        <v>547</v>
      </c>
      <c r="E606" t="s">
        <v>15</v>
      </c>
      <c r="F606" t="s">
        <v>31</v>
      </c>
      <c r="G606" t="s">
        <v>131</v>
      </c>
      <c r="H606">
        <v>6</v>
      </c>
      <c r="I606">
        <v>2420</v>
      </c>
      <c r="J606">
        <v>10</v>
      </c>
      <c r="K606">
        <v>13068</v>
      </c>
      <c r="L606" t="s">
        <v>18</v>
      </c>
      <c r="M606" s="2">
        <f>Table1[[#This Row],[Revenue_INR]]-Table1[[#This Row],[Price_INR]]</f>
        <v>10648</v>
      </c>
      <c r="N606">
        <f>YEAR(Table1[[#This Row],[Date]])</f>
        <v>2024</v>
      </c>
      <c r="O606" s="2">
        <f t="shared" si="36"/>
        <v>2178</v>
      </c>
      <c r="P606" s="7">
        <f t="shared" si="37"/>
        <v>81.481481481481481</v>
      </c>
      <c r="Q606" s="2">
        <f t="shared" si="38"/>
        <v>1452</v>
      </c>
      <c r="R606" s="5" t="str">
        <f t="shared" si="39"/>
        <v>Below Average</v>
      </c>
      <c r="S606" s="5" t="str">
        <f>Table1[[#This Row],[Quarter]]&amp;" - "&amp;Table1[[#This Row],[City]]</f>
        <v>Q3 - Kolkata</v>
      </c>
    </row>
    <row r="607" spans="1:19" x14ac:dyDescent="0.3">
      <c r="A607" t="s">
        <v>674</v>
      </c>
      <c r="B607" s="1">
        <v>45520</v>
      </c>
      <c r="C607" t="s">
        <v>630</v>
      </c>
      <c r="D607" t="s">
        <v>547</v>
      </c>
      <c r="E607" t="s">
        <v>25</v>
      </c>
      <c r="F607" t="s">
        <v>31</v>
      </c>
      <c r="G607" t="s">
        <v>38</v>
      </c>
      <c r="H607">
        <v>9</v>
      </c>
      <c r="I607">
        <v>2620</v>
      </c>
      <c r="J607">
        <v>15</v>
      </c>
      <c r="K607">
        <v>20043</v>
      </c>
      <c r="L607" t="s">
        <v>42</v>
      </c>
      <c r="M607" s="2">
        <f>Table1[[#This Row],[Revenue_INR]]-Table1[[#This Row],[Price_INR]]</f>
        <v>17423</v>
      </c>
      <c r="N607">
        <f>YEAR(Table1[[#This Row],[Date]])</f>
        <v>2024</v>
      </c>
      <c r="O607" s="2">
        <f t="shared" si="36"/>
        <v>2227</v>
      </c>
      <c r="P607" s="7">
        <f t="shared" si="37"/>
        <v>86.928104575163403</v>
      </c>
      <c r="Q607" s="2">
        <f t="shared" si="38"/>
        <v>3537</v>
      </c>
      <c r="R607" s="5" t="str">
        <f t="shared" si="39"/>
        <v>Below Average</v>
      </c>
      <c r="S607" s="5" t="str">
        <f>Table1[[#This Row],[Quarter]]&amp;" - "&amp;Table1[[#This Row],[City]]</f>
        <v>Q3 - Hyderabad</v>
      </c>
    </row>
    <row r="608" spans="1:19" x14ac:dyDescent="0.3">
      <c r="A608" t="s">
        <v>675</v>
      </c>
      <c r="B608" s="1">
        <v>45520</v>
      </c>
      <c r="C608" t="s">
        <v>630</v>
      </c>
      <c r="D608" t="s">
        <v>547</v>
      </c>
      <c r="E608" t="s">
        <v>20</v>
      </c>
      <c r="F608" t="s">
        <v>16</v>
      </c>
      <c r="G608" t="s">
        <v>69</v>
      </c>
      <c r="H608">
        <v>8</v>
      </c>
      <c r="I608">
        <v>950</v>
      </c>
      <c r="J608">
        <v>20</v>
      </c>
      <c r="K608">
        <v>6080</v>
      </c>
      <c r="L608" t="s">
        <v>39</v>
      </c>
      <c r="M608" s="2">
        <f>Table1[[#This Row],[Revenue_INR]]-Table1[[#This Row],[Price_INR]]</f>
        <v>5130</v>
      </c>
      <c r="N608">
        <f>YEAR(Table1[[#This Row],[Date]])</f>
        <v>2024</v>
      </c>
      <c r="O608" s="2">
        <f t="shared" si="36"/>
        <v>760</v>
      </c>
      <c r="P608" s="7">
        <f t="shared" si="37"/>
        <v>84.375</v>
      </c>
      <c r="Q608" s="2">
        <f t="shared" si="38"/>
        <v>1520</v>
      </c>
      <c r="R608" s="5" t="str">
        <f t="shared" si="39"/>
        <v>Below Average</v>
      </c>
      <c r="S608" s="5" t="str">
        <f>Table1[[#This Row],[Quarter]]&amp;" - "&amp;Table1[[#This Row],[City]]</f>
        <v>Q3 - Mumbai</v>
      </c>
    </row>
    <row r="609" spans="1:19" x14ac:dyDescent="0.3">
      <c r="A609" t="s">
        <v>676</v>
      </c>
      <c r="B609" s="1">
        <v>45520</v>
      </c>
      <c r="C609" t="s">
        <v>630</v>
      </c>
      <c r="D609" t="s">
        <v>547</v>
      </c>
      <c r="E609" t="s">
        <v>25</v>
      </c>
      <c r="F609" t="s">
        <v>31</v>
      </c>
      <c r="G609" t="s">
        <v>32</v>
      </c>
      <c r="H609">
        <v>9</v>
      </c>
      <c r="I609">
        <v>1110</v>
      </c>
      <c r="J609">
        <v>30</v>
      </c>
      <c r="K609">
        <v>6993</v>
      </c>
      <c r="L609" t="s">
        <v>66</v>
      </c>
      <c r="M609" s="2">
        <f>Table1[[#This Row],[Revenue_INR]]-Table1[[#This Row],[Price_INR]]</f>
        <v>5883</v>
      </c>
      <c r="N609">
        <f>YEAR(Table1[[#This Row],[Date]])</f>
        <v>2024</v>
      </c>
      <c r="O609" s="2">
        <f t="shared" si="36"/>
        <v>777</v>
      </c>
      <c r="P609" s="7">
        <f t="shared" si="37"/>
        <v>84.126984126984127</v>
      </c>
      <c r="Q609" s="2">
        <f t="shared" si="38"/>
        <v>2997</v>
      </c>
      <c r="R609" s="5" t="str">
        <f t="shared" si="39"/>
        <v>Below Average</v>
      </c>
      <c r="S609" s="5" t="str">
        <f>Table1[[#This Row],[Quarter]]&amp;" - "&amp;Table1[[#This Row],[City]]</f>
        <v>Q3 - Hyderabad</v>
      </c>
    </row>
    <row r="610" spans="1:19" x14ac:dyDescent="0.3">
      <c r="A610" t="s">
        <v>677</v>
      </c>
      <c r="B610" s="1">
        <v>45521</v>
      </c>
      <c r="C610" t="s">
        <v>630</v>
      </c>
      <c r="D610" t="s">
        <v>547</v>
      </c>
      <c r="E610" t="s">
        <v>34</v>
      </c>
      <c r="F610" t="s">
        <v>26</v>
      </c>
      <c r="G610" t="s">
        <v>82</v>
      </c>
      <c r="H610">
        <v>4</v>
      </c>
      <c r="I610">
        <v>10420</v>
      </c>
      <c r="J610">
        <v>10</v>
      </c>
      <c r="K610">
        <v>37512</v>
      </c>
      <c r="L610" t="s">
        <v>45</v>
      </c>
      <c r="M610" s="2">
        <f>Table1[[#This Row],[Revenue_INR]]-Table1[[#This Row],[Price_INR]]</f>
        <v>27092</v>
      </c>
      <c r="N610">
        <f>YEAR(Table1[[#This Row],[Date]])</f>
        <v>2024</v>
      </c>
      <c r="O610" s="2">
        <f t="shared" si="36"/>
        <v>9378</v>
      </c>
      <c r="P610" s="7">
        <f t="shared" si="37"/>
        <v>72.222222222222214</v>
      </c>
      <c r="Q610" s="2">
        <f t="shared" si="38"/>
        <v>4168</v>
      </c>
      <c r="R610" s="5" t="str">
        <f t="shared" si="39"/>
        <v>Above Average</v>
      </c>
      <c r="S610" s="5" t="str">
        <f>Table1[[#This Row],[Quarter]]&amp;" - "&amp;Table1[[#This Row],[City]]</f>
        <v>Q3 - Delhi</v>
      </c>
    </row>
    <row r="611" spans="1:19" x14ac:dyDescent="0.3">
      <c r="A611" t="s">
        <v>678</v>
      </c>
      <c r="B611" s="1">
        <v>45522</v>
      </c>
      <c r="C611" t="s">
        <v>630</v>
      </c>
      <c r="D611" t="s">
        <v>547</v>
      </c>
      <c r="E611" t="s">
        <v>15</v>
      </c>
      <c r="F611" t="s">
        <v>47</v>
      </c>
      <c r="G611" t="s">
        <v>55</v>
      </c>
      <c r="H611">
        <v>15</v>
      </c>
      <c r="I611">
        <v>7160</v>
      </c>
      <c r="J611">
        <v>5</v>
      </c>
      <c r="K611">
        <v>102030</v>
      </c>
      <c r="L611" t="s">
        <v>18</v>
      </c>
      <c r="M611" s="2">
        <f>Table1[[#This Row],[Revenue_INR]]-Table1[[#This Row],[Price_INR]]</f>
        <v>94870</v>
      </c>
      <c r="N611">
        <f>YEAR(Table1[[#This Row],[Date]])</f>
        <v>2024</v>
      </c>
      <c r="O611" s="2">
        <f t="shared" si="36"/>
        <v>6802</v>
      </c>
      <c r="P611" s="7">
        <f t="shared" si="37"/>
        <v>92.982456140350877</v>
      </c>
      <c r="Q611" s="2">
        <f t="shared" si="38"/>
        <v>5370</v>
      </c>
      <c r="R611" s="5" t="str">
        <f t="shared" si="39"/>
        <v>Above Average</v>
      </c>
      <c r="S611" s="5" t="str">
        <f>Table1[[#This Row],[Quarter]]&amp;" - "&amp;Table1[[#This Row],[City]]</f>
        <v>Q3 - Kolkata</v>
      </c>
    </row>
    <row r="612" spans="1:19" x14ac:dyDescent="0.3">
      <c r="A612" t="s">
        <v>679</v>
      </c>
      <c r="B612" s="1">
        <v>45522</v>
      </c>
      <c r="C612" t="s">
        <v>630</v>
      </c>
      <c r="D612" t="s">
        <v>547</v>
      </c>
      <c r="E612" t="s">
        <v>34</v>
      </c>
      <c r="F612" t="s">
        <v>60</v>
      </c>
      <c r="G612" t="s">
        <v>99</v>
      </c>
      <c r="H612">
        <v>2</v>
      </c>
      <c r="I612">
        <v>1920</v>
      </c>
      <c r="J612">
        <v>10</v>
      </c>
      <c r="K612">
        <v>3456</v>
      </c>
      <c r="L612" t="s">
        <v>49</v>
      </c>
      <c r="M612" s="2">
        <f>Table1[[#This Row],[Revenue_INR]]-Table1[[#This Row],[Price_INR]]</f>
        <v>1536</v>
      </c>
      <c r="N612">
        <f>YEAR(Table1[[#This Row],[Date]])</f>
        <v>2024</v>
      </c>
      <c r="O612" s="2">
        <f t="shared" si="36"/>
        <v>1728</v>
      </c>
      <c r="P612" s="7">
        <f t="shared" si="37"/>
        <v>44.444444444444443</v>
      </c>
      <c r="Q612" s="2">
        <f t="shared" si="38"/>
        <v>384</v>
      </c>
      <c r="R612" s="5" t="str">
        <f t="shared" si="39"/>
        <v>Below Average</v>
      </c>
      <c r="S612" s="5" t="str">
        <f>Table1[[#This Row],[Quarter]]&amp;" - "&amp;Table1[[#This Row],[City]]</f>
        <v>Q3 - Delhi</v>
      </c>
    </row>
    <row r="613" spans="1:19" x14ac:dyDescent="0.3">
      <c r="A613" t="s">
        <v>680</v>
      </c>
      <c r="B613" s="1">
        <v>45522</v>
      </c>
      <c r="C613" t="s">
        <v>630</v>
      </c>
      <c r="D613" t="s">
        <v>547</v>
      </c>
      <c r="E613" t="s">
        <v>25</v>
      </c>
      <c r="F613" t="s">
        <v>47</v>
      </c>
      <c r="G613" t="s">
        <v>48</v>
      </c>
      <c r="H613">
        <v>6</v>
      </c>
      <c r="I613">
        <v>2980</v>
      </c>
      <c r="J613">
        <v>30</v>
      </c>
      <c r="K613">
        <v>12516</v>
      </c>
      <c r="L613" t="s">
        <v>66</v>
      </c>
      <c r="M613" s="2">
        <f>Table1[[#This Row],[Revenue_INR]]-Table1[[#This Row],[Price_INR]]</f>
        <v>9536</v>
      </c>
      <c r="N613">
        <f>YEAR(Table1[[#This Row],[Date]])</f>
        <v>2024</v>
      </c>
      <c r="O613" s="2">
        <f t="shared" si="36"/>
        <v>2086</v>
      </c>
      <c r="P613" s="7">
        <f t="shared" si="37"/>
        <v>76.19047619047619</v>
      </c>
      <c r="Q613" s="2">
        <f t="shared" si="38"/>
        <v>5364</v>
      </c>
      <c r="R613" s="5" t="str">
        <f t="shared" si="39"/>
        <v>Below Average</v>
      </c>
      <c r="S613" s="5" t="str">
        <f>Table1[[#This Row],[Quarter]]&amp;" - "&amp;Table1[[#This Row],[City]]</f>
        <v>Q3 - Hyderabad</v>
      </c>
    </row>
    <row r="614" spans="1:19" x14ac:dyDescent="0.3">
      <c r="A614" t="s">
        <v>681</v>
      </c>
      <c r="B614" s="1">
        <v>45522</v>
      </c>
      <c r="C614" t="s">
        <v>630</v>
      </c>
      <c r="D614" t="s">
        <v>547</v>
      </c>
      <c r="E614" t="s">
        <v>20</v>
      </c>
      <c r="F614" t="s">
        <v>26</v>
      </c>
      <c r="G614" t="s">
        <v>27</v>
      </c>
      <c r="H614">
        <v>14</v>
      </c>
      <c r="I614">
        <v>7250</v>
      </c>
      <c r="J614">
        <v>30</v>
      </c>
      <c r="K614">
        <v>71050</v>
      </c>
      <c r="L614" t="s">
        <v>39</v>
      </c>
      <c r="M614" s="2">
        <f>Table1[[#This Row],[Revenue_INR]]-Table1[[#This Row],[Price_INR]]</f>
        <v>63800</v>
      </c>
      <c r="N614">
        <f>YEAR(Table1[[#This Row],[Date]])</f>
        <v>2024</v>
      </c>
      <c r="O614" s="2">
        <f t="shared" si="36"/>
        <v>5075</v>
      </c>
      <c r="P614" s="7">
        <f t="shared" si="37"/>
        <v>89.795918367346943</v>
      </c>
      <c r="Q614" s="2">
        <f t="shared" si="38"/>
        <v>30450</v>
      </c>
      <c r="R614" s="5" t="str">
        <f t="shared" si="39"/>
        <v>Above Average</v>
      </c>
      <c r="S614" s="5" t="str">
        <f>Table1[[#This Row],[Quarter]]&amp;" - "&amp;Table1[[#This Row],[City]]</f>
        <v>Q3 - Mumbai</v>
      </c>
    </row>
    <row r="615" spans="1:19" x14ac:dyDescent="0.3">
      <c r="A615" t="s">
        <v>682</v>
      </c>
      <c r="B615" s="1">
        <v>45522</v>
      </c>
      <c r="C615" t="s">
        <v>630</v>
      </c>
      <c r="D615" t="s">
        <v>547</v>
      </c>
      <c r="E615" t="s">
        <v>15</v>
      </c>
      <c r="F615" t="s">
        <v>26</v>
      </c>
      <c r="G615" t="s">
        <v>82</v>
      </c>
      <c r="H615">
        <v>7</v>
      </c>
      <c r="I615">
        <v>6720</v>
      </c>
      <c r="J615">
        <v>20</v>
      </c>
      <c r="K615">
        <v>37632</v>
      </c>
      <c r="L615" t="s">
        <v>53</v>
      </c>
      <c r="M615" s="2">
        <f>Table1[[#This Row],[Revenue_INR]]-Table1[[#This Row],[Price_INR]]</f>
        <v>30912</v>
      </c>
      <c r="N615">
        <f>YEAR(Table1[[#This Row],[Date]])</f>
        <v>2024</v>
      </c>
      <c r="O615" s="2">
        <f t="shared" si="36"/>
        <v>5376</v>
      </c>
      <c r="P615" s="7">
        <f t="shared" si="37"/>
        <v>82.142857142857139</v>
      </c>
      <c r="Q615" s="2">
        <f t="shared" si="38"/>
        <v>9408</v>
      </c>
      <c r="R615" s="5" t="str">
        <f t="shared" si="39"/>
        <v>Above Average</v>
      </c>
      <c r="S615" s="5" t="str">
        <f>Table1[[#This Row],[Quarter]]&amp;" - "&amp;Table1[[#This Row],[City]]</f>
        <v>Q3 - Kolkata</v>
      </c>
    </row>
    <row r="616" spans="1:19" x14ac:dyDescent="0.3">
      <c r="A616" t="s">
        <v>683</v>
      </c>
      <c r="B616" s="1">
        <v>45523</v>
      </c>
      <c r="C616" t="s">
        <v>630</v>
      </c>
      <c r="D616" t="s">
        <v>547</v>
      </c>
      <c r="E616" t="s">
        <v>15</v>
      </c>
      <c r="F616" t="s">
        <v>47</v>
      </c>
      <c r="G616" t="s">
        <v>51</v>
      </c>
      <c r="H616">
        <v>6</v>
      </c>
      <c r="I616">
        <v>3910</v>
      </c>
      <c r="J616">
        <v>10</v>
      </c>
      <c r="K616">
        <v>21114</v>
      </c>
      <c r="L616" t="s">
        <v>92</v>
      </c>
      <c r="M616" s="2">
        <f>Table1[[#This Row],[Revenue_INR]]-Table1[[#This Row],[Price_INR]]</f>
        <v>17204</v>
      </c>
      <c r="N616">
        <f>YEAR(Table1[[#This Row],[Date]])</f>
        <v>2024</v>
      </c>
      <c r="O616" s="2">
        <f t="shared" si="36"/>
        <v>3519</v>
      </c>
      <c r="P616" s="7">
        <f t="shared" si="37"/>
        <v>81.481481481481481</v>
      </c>
      <c r="Q616" s="2">
        <f t="shared" si="38"/>
        <v>2346</v>
      </c>
      <c r="R616" s="5" t="str">
        <f t="shared" si="39"/>
        <v>Below Average</v>
      </c>
      <c r="S616" s="5" t="str">
        <f>Table1[[#This Row],[Quarter]]&amp;" - "&amp;Table1[[#This Row],[City]]</f>
        <v>Q3 - Kolkata</v>
      </c>
    </row>
    <row r="617" spans="1:19" x14ac:dyDescent="0.3">
      <c r="A617" t="s">
        <v>684</v>
      </c>
      <c r="B617" s="1">
        <v>45524</v>
      </c>
      <c r="C617" t="s">
        <v>630</v>
      </c>
      <c r="D617" t="s">
        <v>547</v>
      </c>
      <c r="E617" t="s">
        <v>25</v>
      </c>
      <c r="F617" t="s">
        <v>47</v>
      </c>
      <c r="G617" t="s">
        <v>102</v>
      </c>
      <c r="H617">
        <v>1</v>
      </c>
      <c r="I617">
        <v>4260</v>
      </c>
      <c r="J617">
        <v>5</v>
      </c>
      <c r="K617">
        <v>4047</v>
      </c>
      <c r="L617" t="s">
        <v>66</v>
      </c>
      <c r="M617" s="2">
        <f>Table1[[#This Row],[Revenue_INR]]-Table1[[#This Row],[Price_INR]]</f>
        <v>-213</v>
      </c>
      <c r="N617">
        <f>YEAR(Table1[[#This Row],[Date]])</f>
        <v>2024</v>
      </c>
      <c r="O617" s="2">
        <f t="shared" si="36"/>
        <v>4047</v>
      </c>
      <c r="P617" s="7">
        <f t="shared" si="37"/>
        <v>-5.2631578947368416</v>
      </c>
      <c r="Q617" s="2">
        <f t="shared" si="38"/>
        <v>213</v>
      </c>
      <c r="R617" s="5" t="str">
        <f t="shared" si="39"/>
        <v>Below Average</v>
      </c>
      <c r="S617" s="5" t="str">
        <f>Table1[[#This Row],[Quarter]]&amp;" - "&amp;Table1[[#This Row],[City]]</f>
        <v>Q3 - Hyderabad</v>
      </c>
    </row>
    <row r="618" spans="1:19" x14ac:dyDescent="0.3">
      <c r="A618" t="s">
        <v>685</v>
      </c>
      <c r="B618" s="1">
        <v>45524</v>
      </c>
      <c r="C618" t="s">
        <v>630</v>
      </c>
      <c r="D618" t="s">
        <v>547</v>
      </c>
      <c r="E618" t="s">
        <v>15</v>
      </c>
      <c r="F618" t="s">
        <v>60</v>
      </c>
      <c r="G618" t="s">
        <v>124</v>
      </c>
      <c r="H618">
        <v>15</v>
      </c>
      <c r="I618">
        <v>870</v>
      </c>
      <c r="J618">
        <v>20</v>
      </c>
      <c r="K618">
        <v>10440</v>
      </c>
      <c r="L618" t="s">
        <v>92</v>
      </c>
      <c r="M618" s="2">
        <f>Table1[[#This Row],[Revenue_INR]]-Table1[[#This Row],[Price_INR]]</f>
        <v>9570</v>
      </c>
      <c r="N618">
        <f>YEAR(Table1[[#This Row],[Date]])</f>
        <v>2024</v>
      </c>
      <c r="O618" s="2">
        <f t="shared" si="36"/>
        <v>696</v>
      </c>
      <c r="P618" s="7">
        <f t="shared" si="37"/>
        <v>91.666666666666657</v>
      </c>
      <c r="Q618" s="2">
        <f t="shared" si="38"/>
        <v>2610</v>
      </c>
      <c r="R618" s="5" t="str">
        <f t="shared" si="39"/>
        <v>Below Average</v>
      </c>
      <c r="S618" s="5" t="str">
        <f>Table1[[#This Row],[Quarter]]&amp;" - "&amp;Table1[[#This Row],[City]]</f>
        <v>Q3 - Kolkata</v>
      </c>
    </row>
    <row r="619" spans="1:19" x14ac:dyDescent="0.3">
      <c r="A619" t="s">
        <v>686</v>
      </c>
      <c r="B619" s="1">
        <v>45524</v>
      </c>
      <c r="C619" t="s">
        <v>630</v>
      </c>
      <c r="D619" t="s">
        <v>547</v>
      </c>
      <c r="E619" t="s">
        <v>20</v>
      </c>
      <c r="F619" t="s">
        <v>47</v>
      </c>
      <c r="G619" t="s">
        <v>48</v>
      </c>
      <c r="H619">
        <v>15</v>
      </c>
      <c r="I619">
        <v>6860</v>
      </c>
      <c r="J619">
        <v>10</v>
      </c>
      <c r="K619">
        <v>92610</v>
      </c>
      <c r="L619" t="s">
        <v>23</v>
      </c>
      <c r="M619" s="2">
        <f>Table1[[#This Row],[Revenue_INR]]-Table1[[#This Row],[Price_INR]]</f>
        <v>85750</v>
      </c>
      <c r="N619">
        <f>YEAR(Table1[[#This Row],[Date]])</f>
        <v>2024</v>
      </c>
      <c r="O619" s="2">
        <f t="shared" si="36"/>
        <v>6174</v>
      </c>
      <c r="P619" s="7">
        <f t="shared" si="37"/>
        <v>92.592592592592595</v>
      </c>
      <c r="Q619" s="2">
        <f t="shared" si="38"/>
        <v>10290</v>
      </c>
      <c r="R619" s="5" t="str">
        <f t="shared" si="39"/>
        <v>Above Average</v>
      </c>
      <c r="S619" s="5" t="str">
        <f>Table1[[#This Row],[Quarter]]&amp;" - "&amp;Table1[[#This Row],[City]]</f>
        <v>Q3 - Mumbai</v>
      </c>
    </row>
    <row r="620" spans="1:19" x14ac:dyDescent="0.3">
      <c r="A620" t="s">
        <v>687</v>
      </c>
      <c r="B620" s="1">
        <v>45524</v>
      </c>
      <c r="C620" t="s">
        <v>630</v>
      </c>
      <c r="D620" t="s">
        <v>547</v>
      </c>
      <c r="E620" t="s">
        <v>25</v>
      </c>
      <c r="F620" t="s">
        <v>47</v>
      </c>
      <c r="G620" t="s">
        <v>55</v>
      </c>
      <c r="H620">
        <v>5</v>
      </c>
      <c r="I620">
        <v>8900</v>
      </c>
      <c r="J620">
        <v>30</v>
      </c>
      <c r="K620">
        <v>31150</v>
      </c>
      <c r="L620" t="s">
        <v>28</v>
      </c>
      <c r="M620" s="2">
        <f>Table1[[#This Row],[Revenue_INR]]-Table1[[#This Row],[Price_INR]]</f>
        <v>22250</v>
      </c>
      <c r="N620">
        <f>YEAR(Table1[[#This Row],[Date]])</f>
        <v>2024</v>
      </c>
      <c r="O620" s="2">
        <f t="shared" si="36"/>
        <v>6230</v>
      </c>
      <c r="P620" s="7">
        <f t="shared" si="37"/>
        <v>71.428571428571431</v>
      </c>
      <c r="Q620" s="2">
        <f t="shared" si="38"/>
        <v>13350</v>
      </c>
      <c r="R620" s="5" t="str">
        <f t="shared" si="39"/>
        <v>Above Average</v>
      </c>
      <c r="S620" s="5" t="str">
        <f>Table1[[#This Row],[Quarter]]&amp;" - "&amp;Table1[[#This Row],[City]]</f>
        <v>Q3 - Hyderabad</v>
      </c>
    </row>
    <row r="621" spans="1:19" x14ac:dyDescent="0.3">
      <c r="A621" t="s">
        <v>688</v>
      </c>
      <c r="B621" s="1">
        <v>45524</v>
      </c>
      <c r="C621" t="s">
        <v>630</v>
      </c>
      <c r="D621" t="s">
        <v>547</v>
      </c>
      <c r="E621" t="s">
        <v>34</v>
      </c>
      <c r="F621" t="s">
        <v>31</v>
      </c>
      <c r="G621" t="s">
        <v>32</v>
      </c>
      <c r="H621">
        <v>6</v>
      </c>
      <c r="I621">
        <v>3170</v>
      </c>
      <c r="J621">
        <v>20</v>
      </c>
      <c r="K621">
        <v>15216</v>
      </c>
      <c r="L621" t="s">
        <v>45</v>
      </c>
      <c r="M621" s="2">
        <f>Table1[[#This Row],[Revenue_INR]]-Table1[[#This Row],[Price_INR]]</f>
        <v>12046</v>
      </c>
      <c r="N621">
        <f>YEAR(Table1[[#This Row],[Date]])</f>
        <v>2024</v>
      </c>
      <c r="O621" s="2">
        <f t="shared" si="36"/>
        <v>2536</v>
      </c>
      <c r="P621" s="7">
        <f t="shared" si="37"/>
        <v>79.166666666666657</v>
      </c>
      <c r="Q621" s="2">
        <f t="shared" si="38"/>
        <v>3804</v>
      </c>
      <c r="R621" s="5" t="str">
        <f t="shared" si="39"/>
        <v>Below Average</v>
      </c>
      <c r="S621" s="5" t="str">
        <f>Table1[[#This Row],[Quarter]]&amp;" - "&amp;Table1[[#This Row],[City]]</f>
        <v>Q3 - Delhi</v>
      </c>
    </row>
    <row r="622" spans="1:19" x14ac:dyDescent="0.3">
      <c r="A622" t="s">
        <v>689</v>
      </c>
      <c r="B622" s="1">
        <v>45524</v>
      </c>
      <c r="C622" t="s">
        <v>630</v>
      </c>
      <c r="D622" t="s">
        <v>547</v>
      </c>
      <c r="E622" t="s">
        <v>34</v>
      </c>
      <c r="F622" t="s">
        <v>26</v>
      </c>
      <c r="G622" t="s">
        <v>80</v>
      </c>
      <c r="H622">
        <v>6</v>
      </c>
      <c r="I622">
        <v>12180</v>
      </c>
      <c r="J622">
        <v>10</v>
      </c>
      <c r="K622">
        <v>65772</v>
      </c>
      <c r="L622" t="s">
        <v>36</v>
      </c>
      <c r="M622" s="2">
        <f>Table1[[#This Row],[Revenue_INR]]-Table1[[#This Row],[Price_INR]]</f>
        <v>53592</v>
      </c>
      <c r="N622">
        <f>YEAR(Table1[[#This Row],[Date]])</f>
        <v>2024</v>
      </c>
      <c r="O622" s="2">
        <f t="shared" si="36"/>
        <v>10962</v>
      </c>
      <c r="P622" s="7">
        <f t="shared" si="37"/>
        <v>81.481481481481481</v>
      </c>
      <c r="Q622" s="2">
        <f t="shared" si="38"/>
        <v>7308</v>
      </c>
      <c r="R622" s="5" t="str">
        <f t="shared" si="39"/>
        <v>Above Average</v>
      </c>
      <c r="S622" s="5" t="str">
        <f>Table1[[#This Row],[Quarter]]&amp;" - "&amp;Table1[[#This Row],[City]]</f>
        <v>Q3 - Delhi</v>
      </c>
    </row>
    <row r="623" spans="1:19" x14ac:dyDescent="0.3">
      <c r="A623" t="s">
        <v>690</v>
      </c>
      <c r="B623" s="1">
        <v>45524</v>
      </c>
      <c r="C623" t="s">
        <v>630</v>
      </c>
      <c r="D623" t="s">
        <v>547</v>
      </c>
      <c r="E623" t="s">
        <v>15</v>
      </c>
      <c r="F623" t="s">
        <v>31</v>
      </c>
      <c r="G623" t="s">
        <v>38</v>
      </c>
      <c r="H623">
        <v>14</v>
      </c>
      <c r="I623">
        <v>5130</v>
      </c>
      <c r="J623">
        <v>5</v>
      </c>
      <c r="K623">
        <v>68229</v>
      </c>
      <c r="L623" t="s">
        <v>53</v>
      </c>
      <c r="M623" s="2">
        <f>Table1[[#This Row],[Revenue_INR]]-Table1[[#This Row],[Price_INR]]</f>
        <v>63099</v>
      </c>
      <c r="N623">
        <f>YEAR(Table1[[#This Row],[Date]])</f>
        <v>2024</v>
      </c>
      <c r="O623" s="2">
        <f t="shared" si="36"/>
        <v>4873.5</v>
      </c>
      <c r="P623" s="7">
        <f t="shared" si="37"/>
        <v>92.481203007518801</v>
      </c>
      <c r="Q623" s="2">
        <f t="shared" si="38"/>
        <v>3591</v>
      </c>
      <c r="R623" s="5" t="str">
        <f t="shared" si="39"/>
        <v>Above Average</v>
      </c>
      <c r="S623" s="5" t="str">
        <f>Table1[[#This Row],[Quarter]]&amp;" - "&amp;Table1[[#This Row],[City]]</f>
        <v>Q3 - Kolkata</v>
      </c>
    </row>
    <row r="624" spans="1:19" x14ac:dyDescent="0.3">
      <c r="A624" t="s">
        <v>691</v>
      </c>
      <c r="B624" s="1">
        <v>45525</v>
      </c>
      <c r="C624" t="s">
        <v>630</v>
      </c>
      <c r="D624" t="s">
        <v>547</v>
      </c>
      <c r="E624" t="s">
        <v>20</v>
      </c>
      <c r="F624" t="s">
        <v>31</v>
      </c>
      <c r="G624" t="s">
        <v>38</v>
      </c>
      <c r="H624">
        <v>7</v>
      </c>
      <c r="I624">
        <v>1910</v>
      </c>
      <c r="J624">
        <v>15</v>
      </c>
      <c r="K624">
        <v>11364.5</v>
      </c>
      <c r="L624" t="s">
        <v>23</v>
      </c>
      <c r="M624" s="2">
        <f>Table1[[#This Row],[Revenue_INR]]-Table1[[#This Row],[Price_INR]]</f>
        <v>9454.5</v>
      </c>
      <c r="N624">
        <f>YEAR(Table1[[#This Row],[Date]])</f>
        <v>2024</v>
      </c>
      <c r="O624" s="2">
        <f t="shared" si="36"/>
        <v>1623.5</v>
      </c>
      <c r="P624" s="7">
        <f t="shared" si="37"/>
        <v>83.193277310924373</v>
      </c>
      <c r="Q624" s="2">
        <f t="shared" si="38"/>
        <v>2005.5</v>
      </c>
      <c r="R624" s="5" t="str">
        <f t="shared" si="39"/>
        <v>Below Average</v>
      </c>
      <c r="S624" s="5" t="str">
        <f>Table1[[#This Row],[Quarter]]&amp;" - "&amp;Table1[[#This Row],[City]]</f>
        <v>Q3 - Mumbai</v>
      </c>
    </row>
    <row r="625" spans="1:19" x14ac:dyDescent="0.3">
      <c r="A625" t="s">
        <v>692</v>
      </c>
      <c r="B625" s="1">
        <v>45525</v>
      </c>
      <c r="C625" t="s">
        <v>630</v>
      </c>
      <c r="D625" t="s">
        <v>547</v>
      </c>
      <c r="E625" t="s">
        <v>25</v>
      </c>
      <c r="F625" t="s">
        <v>21</v>
      </c>
      <c r="G625" t="s">
        <v>22</v>
      </c>
      <c r="H625">
        <v>4</v>
      </c>
      <c r="I625">
        <v>3060</v>
      </c>
      <c r="J625">
        <v>0</v>
      </c>
      <c r="K625">
        <v>12240</v>
      </c>
      <c r="L625" t="s">
        <v>42</v>
      </c>
      <c r="M625" s="2">
        <f>Table1[[#This Row],[Revenue_INR]]-Table1[[#This Row],[Price_INR]]</f>
        <v>9180</v>
      </c>
      <c r="N625">
        <f>YEAR(Table1[[#This Row],[Date]])</f>
        <v>2024</v>
      </c>
      <c r="O625" s="2">
        <f t="shared" si="36"/>
        <v>3060</v>
      </c>
      <c r="P625" s="7">
        <f t="shared" si="37"/>
        <v>75</v>
      </c>
      <c r="Q625" s="2">
        <f t="shared" si="38"/>
        <v>0</v>
      </c>
      <c r="R625" s="5" t="str">
        <f t="shared" si="39"/>
        <v>Below Average</v>
      </c>
      <c r="S625" s="5" t="str">
        <f>Table1[[#This Row],[Quarter]]&amp;" - "&amp;Table1[[#This Row],[City]]</f>
        <v>Q3 - Hyderabad</v>
      </c>
    </row>
    <row r="626" spans="1:19" x14ac:dyDescent="0.3">
      <c r="A626" t="s">
        <v>693</v>
      </c>
      <c r="B626" s="1">
        <v>45525</v>
      </c>
      <c r="C626" t="s">
        <v>630</v>
      </c>
      <c r="D626" t="s">
        <v>547</v>
      </c>
      <c r="E626" t="s">
        <v>25</v>
      </c>
      <c r="F626" t="s">
        <v>60</v>
      </c>
      <c r="G626" t="s">
        <v>85</v>
      </c>
      <c r="H626">
        <v>7</v>
      </c>
      <c r="I626">
        <v>1820</v>
      </c>
      <c r="J626">
        <v>30</v>
      </c>
      <c r="K626">
        <v>8918</v>
      </c>
      <c r="L626" t="s">
        <v>66</v>
      </c>
      <c r="M626" s="2">
        <f>Table1[[#This Row],[Revenue_INR]]-Table1[[#This Row],[Price_INR]]</f>
        <v>7098</v>
      </c>
      <c r="N626">
        <f>YEAR(Table1[[#This Row],[Date]])</f>
        <v>2024</v>
      </c>
      <c r="O626" s="2">
        <f t="shared" si="36"/>
        <v>1274</v>
      </c>
      <c r="P626" s="7">
        <f t="shared" si="37"/>
        <v>79.591836734693871</v>
      </c>
      <c r="Q626" s="2">
        <f t="shared" si="38"/>
        <v>3822</v>
      </c>
      <c r="R626" s="5" t="str">
        <f t="shared" si="39"/>
        <v>Below Average</v>
      </c>
      <c r="S626" s="5" t="str">
        <f>Table1[[#This Row],[Quarter]]&amp;" - "&amp;Table1[[#This Row],[City]]</f>
        <v>Q3 - Hyderabad</v>
      </c>
    </row>
    <row r="627" spans="1:19" x14ac:dyDescent="0.3">
      <c r="A627" t="s">
        <v>694</v>
      </c>
      <c r="B627" s="1">
        <v>45527</v>
      </c>
      <c r="C627" t="s">
        <v>630</v>
      </c>
      <c r="D627" t="s">
        <v>547</v>
      </c>
      <c r="E627" t="s">
        <v>20</v>
      </c>
      <c r="F627" t="s">
        <v>47</v>
      </c>
      <c r="G627" t="s">
        <v>102</v>
      </c>
      <c r="H627">
        <v>6</v>
      </c>
      <c r="I627">
        <v>2740</v>
      </c>
      <c r="J627">
        <v>25</v>
      </c>
      <c r="K627">
        <v>12330</v>
      </c>
      <c r="L627" t="s">
        <v>77</v>
      </c>
      <c r="M627" s="2">
        <f>Table1[[#This Row],[Revenue_INR]]-Table1[[#This Row],[Price_INR]]</f>
        <v>9590</v>
      </c>
      <c r="N627">
        <f>YEAR(Table1[[#This Row],[Date]])</f>
        <v>2024</v>
      </c>
      <c r="O627" s="2">
        <f t="shared" si="36"/>
        <v>2055</v>
      </c>
      <c r="P627" s="7">
        <f t="shared" si="37"/>
        <v>77.777777777777786</v>
      </c>
      <c r="Q627" s="2">
        <f t="shared" si="38"/>
        <v>4110</v>
      </c>
      <c r="R627" s="5" t="str">
        <f t="shared" si="39"/>
        <v>Below Average</v>
      </c>
      <c r="S627" s="5" t="str">
        <f>Table1[[#This Row],[Quarter]]&amp;" - "&amp;Table1[[#This Row],[City]]</f>
        <v>Q3 - Mumbai</v>
      </c>
    </row>
    <row r="628" spans="1:19" x14ac:dyDescent="0.3">
      <c r="A628" t="s">
        <v>695</v>
      </c>
      <c r="B628" s="1">
        <v>45527</v>
      </c>
      <c r="C628" t="s">
        <v>630</v>
      </c>
      <c r="D628" t="s">
        <v>547</v>
      </c>
      <c r="E628" t="s">
        <v>25</v>
      </c>
      <c r="F628" t="s">
        <v>47</v>
      </c>
      <c r="G628" t="s">
        <v>51</v>
      </c>
      <c r="H628">
        <v>11</v>
      </c>
      <c r="I628">
        <v>3620</v>
      </c>
      <c r="J628">
        <v>10</v>
      </c>
      <c r="K628">
        <v>35838</v>
      </c>
      <c r="L628" t="s">
        <v>28</v>
      </c>
      <c r="M628" s="2">
        <f>Table1[[#This Row],[Revenue_INR]]-Table1[[#This Row],[Price_INR]]</f>
        <v>32218</v>
      </c>
      <c r="N628">
        <f>YEAR(Table1[[#This Row],[Date]])</f>
        <v>2024</v>
      </c>
      <c r="O628" s="2">
        <f t="shared" si="36"/>
        <v>3258</v>
      </c>
      <c r="P628" s="7">
        <f t="shared" si="37"/>
        <v>89.898989898989896</v>
      </c>
      <c r="Q628" s="2">
        <f t="shared" si="38"/>
        <v>3982</v>
      </c>
      <c r="R628" s="5" t="str">
        <f t="shared" si="39"/>
        <v>Above Average</v>
      </c>
      <c r="S628" s="5" t="str">
        <f>Table1[[#This Row],[Quarter]]&amp;" - "&amp;Table1[[#This Row],[City]]</f>
        <v>Q3 - Hyderabad</v>
      </c>
    </row>
    <row r="629" spans="1:19" x14ac:dyDescent="0.3">
      <c r="A629" t="s">
        <v>696</v>
      </c>
      <c r="B629" s="1">
        <v>45528</v>
      </c>
      <c r="C629" t="s">
        <v>630</v>
      </c>
      <c r="D629" t="s">
        <v>547</v>
      </c>
      <c r="E629" t="s">
        <v>15</v>
      </c>
      <c r="F629" t="s">
        <v>60</v>
      </c>
      <c r="G629" t="s">
        <v>61</v>
      </c>
      <c r="H629">
        <v>6</v>
      </c>
      <c r="I629">
        <v>1500</v>
      </c>
      <c r="J629">
        <v>15</v>
      </c>
      <c r="K629">
        <v>7650</v>
      </c>
      <c r="L629" t="s">
        <v>92</v>
      </c>
      <c r="M629" s="2">
        <f>Table1[[#This Row],[Revenue_INR]]-Table1[[#This Row],[Price_INR]]</f>
        <v>6150</v>
      </c>
      <c r="N629">
        <f>YEAR(Table1[[#This Row],[Date]])</f>
        <v>2024</v>
      </c>
      <c r="O629" s="2">
        <f t="shared" si="36"/>
        <v>1275</v>
      </c>
      <c r="P629" s="7">
        <f t="shared" si="37"/>
        <v>80.392156862745097</v>
      </c>
      <c r="Q629" s="2">
        <f t="shared" si="38"/>
        <v>1350</v>
      </c>
      <c r="R629" s="5" t="str">
        <f t="shared" si="39"/>
        <v>Below Average</v>
      </c>
      <c r="S629" s="5" t="str">
        <f>Table1[[#This Row],[Quarter]]&amp;" - "&amp;Table1[[#This Row],[City]]</f>
        <v>Q3 - Kolkata</v>
      </c>
    </row>
    <row r="630" spans="1:19" x14ac:dyDescent="0.3">
      <c r="A630" t="s">
        <v>697</v>
      </c>
      <c r="B630" s="1">
        <v>45528</v>
      </c>
      <c r="C630" t="s">
        <v>630</v>
      </c>
      <c r="D630" t="s">
        <v>547</v>
      </c>
      <c r="E630" t="s">
        <v>34</v>
      </c>
      <c r="F630" t="s">
        <v>31</v>
      </c>
      <c r="G630" t="s">
        <v>131</v>
      </c>
      <c r="H630">
        <v>2</v>
      </c>
      <c r="I630">
        <v>2760</v>
      </c>
      <c r="J630">
        <v>10</v>
      </c>
      <c r="K630">
        <v>4968</v>
      </c>
      <c r="L630" t="s">
        <v>49</v>
      </c>
      <c r="M630" s="2">
        <f>Table1[[#This Row],[Revenue_INR]]-Table1[[#This Row],[Price_INR]]</f>
        <v>2208</v>
      </c>
      <c r="N630">
        <f>YEAR(Table1[[#This Row],[Date]])</f>
        <v>2024</v>
      </c>
      <c r="O630" s="2">
        <f t="shared" si="36"/>
        <v>2484</v>
      </c>
      <c r="P630" s="7">
        <f t="shared" si="37"/>
        <v>44.444444444444443</v>
      </c>
      <c r="Q630" s="2">
        <f t="shared" si="38"/>
        <v>552</v>
      </c>
      <c r="R630" s="5" t="str">
        <f t="shared" si="39"/>
        <v>Below Average</v>
      </c>
      <c r="S630" s="5" t="str">
        <f>Table1[[#This Row],[Quarter]]&amp;" - "&amp;Table1[[#This Row],[City]]</f>
        <v>Q3 - Delhi</v>
      </c>
    </row>
    <row r="631" spans="1:19" x14ac:dyDescent="0.3">
      <c r="A631" t="s">
        <v>698</v>
      </c>
      <c r="B631" s="1">
        <v>45528</v>
      </c>
      <c r="C631" t="s">
        <v>630</v>
      </c>
      <c r="D631" t="s">
        <v>547</v>
      </c>
      <c r="E631" t="s">
        <v>20</v>
      </c>
      <c r="F631" t="s">
        <v>47</v>
      </c>
      <c r="G631" t="s">
        <v>55</v>
      </c>
      <c r="H631">
        <v>7</v>
      </c>
      <c r="I631">
        <v>2590</v>
      </c>
      <c r="J631">
        <v>5</v>
      </c>
      <c r="K631">
        <v>17223.5</v>
      </c>
      <c r="L631" t="s">
        <v>39</v>
      </c>
      <c r="M631" s="2">
        <f>Table1[[#This Row],[Revenue_INR]]-Table1[[#This Row],[Price_INR]]</f>
        <v>14633.5</v>
      </c>
      <c r="N631">
        <f>YEAR(Table1[[#This Row],[Date]])</f>
        <v>2024</v>
      </c>
      <c r="O631" s="2">
        <f t="shared" si="36"/>
        <v>2460.5</v>
      </c>
      <c r="P631" s="7">
        <f t="shared" si="37"/>
        <v>84.962406015037601</v>
      </c>
      <c r="Q631" s="2">
        <f t="shared" si="38"/>
        <v>906.5</v>
      </c>
      <c r="R631" s="5" t="str">
        <f t="shared" si="39"/>
        <v>Below Average</v>
      </c>
      <c r="S631" s="5" t="str">
        <f>Table1[[#This Row],[Quarter]]&amp;" - "&amp;Table1[[#This Row],[City]]</f>
        <v>Q3 - Mumbai</v>
      </c>
    </row>
    <row r="632" spans="1:19" x14ac:dyDescent="0.3">
      <c r="A632" t="s">
        <v>699</v>
      </c>
      <c r="B632" s="1">
        <v>45528</v>
      </c>
      <c r="C632" t="s">
        <v>630</v>
      </c>
      <c r="D632" t="s">
        <v>547</v>
      </c>
      <c r="E632" t="s">
        <v>20</v>
      </c>
      <c r="F632" t="s">
        <v>21</v>
      </c>
      <c r="G632" t="s">
        <v>75</v>
      </c>
      <c r="H632">
        <v>15</v>
      </c>
      <c r="I632">
        <v>3100</v>
      </c>
      <c r="J632">
        <v>20</v>
      </c>
      <c r="K632">
        <v>37200</v>
      </c>
      <c r="L632" t="s">
        <v>77</v>
      </c>
      <c r="M632" s="2">
        <f>Table1[[#This Row],[Revenue_INR]]-Table1[[#This Row],[Price_INR]]</f>
        <v>34100</v>
      </c>
      <c r="N632">
        <f>YEAR(Table1[[#This Row],[Date]])</f>
        <v>2024</v>
      </c>
      <c r="O632" s="2">
        <f t="shared" si="36"/>
        <v>2480</v>
      </c>
      <c r="P632" s="7">
        <f t="shared" si="37"/>
        <v>91.666666666666657</v>
      </c>
      <c r="Q632" s="2">
        <f t="shared" si="38"/>
        <v>9300</v>
      </c>
      <c r="R632" s="5" t="str">
        <f t="shared" si="39"/>
        <v>Above Average</v>
      </c>
      <c r="S632" s="5" t="str">
        <f>Table1[[#This Row],[Quarter]]&amp;" - "&amp;Table1[[#This Row],[City]]</f>
        <v>Q3 - Mumbai</v>
      </c>
    </row>
    <row r="633" spans="1:19" x14ac:dyDescent="0.3">
      <c r="A633" t="s">
        <v>700</v>
      </c>
      <c r="B633" s="1">
        <v>45528</v>
      </c>
      <c r="C633" t="s">
        <v>630</v>
      </c>
      <c r="D633" t="s">
        <v>547</v>
      </c>
      <c r="E633" t="s">
        <v>25</v>
      </c>
      <c r="F633" t="s">
        <v>26</v>
      </c>
      <c r="G633" t="s">
        <v>82</v>
      </c>
      <c r="H633">
        <v>9</v>
      </c>
      <c r="I633">
        <v>9340</v>
      </c>
      <c r="J633">
        <v>0</v>
      </c>
      <c r="K633">
        <v>84060</v>
      </c>
      <c r="L633" t="s">
        <v>66</v>
      </c>
      <c r="M633" s="2">
        <f>Table1[[#This Row],[Revenue_INR]]-Table1[[#This Row],[Price_INR]]</f>
        <v>74720</v>
      </c>
      <c r="N633">
        <f>YEAR(Table1[[#This Row],[Date]])</f>
        <v>2024</v>
      </c>
      <c r="O633" s="2">
        <f t="shared" si="36"/>
        <v>9340</v>
      </c>
      <c r="P633" s="7">
        <f t="shared" si="37"/>
        <v>88.888888888888886</v>
      </c>
      <c r="Q633" s="2">
        <f t="shared" si="38"/>
        <v>0</v>
      </c>
      <c r="R633" s="5" t="str">
        <f t="shared" si="39"/>
        <v>Above Average</v>
      </c>
      <c r="S633" s="5" t="str">
        <f>Table1[[#This Row],[Quarter]]&amp;" - "&amp;Table1[[#This Row],[City]]</f>
        <v>Q3 - Hyderabad</v>
      </c>
    </row>
    <row r="634" spans="1:19" x14ac:dyDescent="0.3">
      <c r="A634" t="s">
        <v>701</v>
      </c>
      <c r="B634" s="1">
        <v>45528</v>
      </c>
      <c r="C634" t="s">
        <v>630</v>
      </c>
      <c r="D634" t="s">
        <v>547</v>
      </c>
      <c r="E634" t="s">
        <v>25</v>
      </c>
      <c r="F634" t="s">
        <v>21</v>
      </c>
      <c r="G634" t="s">
        <v>71</v>
      </c>
      <c r="H634">
        <v>3</v>
      </c>
      <c r="I634">
        <v>1180</v>
      </c>
      <c r="J634">
        <v>10</v>
      </c>
      <c r="K634">
        <v>3186</v>
      </c>
      <c r="L634" t="s">
        <v>42</v>
      </c>
      <c r="M634" s="2">
        <f>Table1[[#This Row],[Revenue_INR]]-Table1[[#This Row],[Price_INR]]</f>
        <v>2006</v>
      </c>
      <c r="N634">
        <f>YEAR(Table1[[#This Row],[Date]])</f>
        <v>2024</v>
      </c>
      <c r="O634" s="2">
        <f t="shared" si="36"/>
        <v>1062</v>
      </c>
      <c r="P634" s="7">
        <f t="shared" si="37"/>
        <v>62.962962962962962</v>
      </c>
      <c r="Q634" s="2">
        <f t="shared" si="38"/>
        <v>354</v>
      </c>
      <c r="R634" s="5" t="str">
        <f t="shared" si="39"/>
        <v>Below Average</v>
      </c>
      <c r="S634" s="5" t="str">
        <f>Table1[[#This Row],[Quarter]]&amp;" - "&amp;Table1[[#This Row],[City]]</f>
        <v>Q3 - Hyderabad</v>
      </c>
    </row>
    <row r="635" spans="1:19" x14ac:dyDescent="0.3">
      <c r="A635" t="s">
        <v>702</v>
      </c>
      <c r="B635" s="1">
        <v>45528</v>
      </c>
      <c r="C635" t="s">
        <v>630</v>
      </c>
      <c r="D635" t="s">
        <v>547</v>
      </c>
      <c r="E635" t="s">
        <v>15</v>
      </c>
      <c r="F635" t="s">
        <v>21</v>
      </c>
      <c r="G635" t="s">
        <v>71</v>
      </c>
      <c r="H635">
        <v>9</v>
      </c>
      <c r="I635">
        <v>3210</v>
      </c>
      <c r="J635">
        <v>10</v>
      </c>
      <c r="K635">
        <v>26001</v>
      </c>
      <c r="L635" t="s">
        <v>53</v>
      </c>
      <c r="M635" s="2">
        <f>Table1[[#This Row],[Revenue_INR]]-Table1[[#This Row],[Price_INR]]</f>
        <v>22791</v>
      </c>
      <c r="N635">
        <f>YEAR(Table1[[#This Row],[Date]])</f>
        <v>2024</v>
      </c>
      <c r="O635" s="2">
        <f t="shared" si="36"/>
        <v>2889</v>
      </c>
      <c r="P635" s="7">
        <f t="shared" si="37"/>
        <v>87.654320987654316</v>
      </c>
      <c r="Q635" s="2">
        <f t="shared" si="38"/>
        <v>2889</v>
      </c>
      <c r="R635" s="5" t="str">
        <f t="shared" si="39"/>
        <v>Above Average</v>
      </c>
      <c r="S635" s="5" t="str">
        <f>Table1[[#This Row],[Quarter]]&amp;" - "&amp;Table1[[#This Row],[City]]</f>
        <v>Q3 - Kolkata</v>
      </c>
    </row>
    <row r="636" spans="1:19" x14ac:dyDescent="0.3">
      <c r="A636" t="s">
        <v>703</v>
      </c>
      <c r="B636" s="1">
        <v>45530</v>
      </c>
      <c r="C636" t="s">
        <v>630</v>
      </c>
      <c r="D636" t="s">
        <v>547</v>
      </c>
      <c r="E636" t="s">
        <v>34</v>
      </c>
      <c r="F636" t="s">
        <v>31</v>
      </c>
      <c r="G636" t="s">
        <v>38</v>
      </c>
      <c r="H636">
        <v>15</v>
      </c>
      <c r="I636">
        <v>2800</v>
      </c>
      <c r="J636">
        <v>15</v>
      </c>
      <c r="K636">
        <v>35700</v>
      </c>
      <c r="L636" t="s">
        <v>45</v>
      </c>
      <c r="M636" s="2">
        <f>Table1[[#This Row],[Revenue_INR]]-Table1[[#This Row],[Price_INR]]</f>
        <v>32900</v>
      </c>
      <c r="N636">
        <f>YEAR(Table1[[#This Row],[Date]])</f>
        <v>2024</v>
      </c>
      <c r="O636" s="2">
        <f t="shared" si="36"/>
        <v>2380</v>
      </c>
      <c r="P636" s="7">
        <f t="shared" si="37"/>
        <v>92.156862745098039</v>
      </c>
      <c r="Q636" s="2">
        <f t="shared" si="38"/>
        <v>6300</v>
      </c>
      <c r="R636" s="5" t="str">
        <f t="shared" si="39"/>
        <v>Above Average</v>
      </c>
      <c r="S636" s="5" t="str">
        <f>Table1[[#This Row],[Quarter]]&amp;" - "&amp;Table1[[#This Row],[City]]</f>
        <v>Q3 - Delhi</v>
      </c>
    </row>
    <row r="637" spans="1:19" x14ac:dyDescent="0.3">
      <c r="A637" t="s">
        <v>704</v>
      </c>
      <c r="B637" s="1">
        <v>45530</v>
      </c>
      <c r="C637" t="s">
        <v>630</v>
      </c>
      <c r="D637" t="s">
        <v>547</v>
      </c>
      <c r="E637" t="s">
        <v>25</v>
      </c>
      <c r="F637" t="s">
        <v>26</v>
      </c>
      <c r="G637" t="s">
        <v>80</v>
      </c>
      <c r="H637">
        <v>3</v>
      </c>
      <c r="I637">
        <v>3290</v>
      </c>
      <c r="J637">
        <v>15</v>
      </c>
      <c r="K637">
        <v>8389.5</v>
      </c>
      <c r="L637" t="s">
        <v>28</v>
      </c>
      <c r="M637" s="2">
        <f>Table1[[#This Row],[Revenue_INR]]-Table1[[#This Row],[Price_INR]]</f>
        <v>5099.5</v>
      </c>
      <c r="N637">
        <f>YEAR(Table1[[#This Row],[Date]])</f>
        <v>2024</v>
      </c>
      <c r="O637" s="2">
        <f t="shared" si="36"/>
        <v>2796.5</v>
      </c>
      <c r="P637" s="7">
        <f t="shared" si="37"/>
        <v>60.784313725490193</v>
      </c>
      <c r="Q637" s="2">
        <f t="shared" si="38"/>
        <v>1480.5</v>
      </c>
      <c r="R637" s="5" t="str">
        <f t="shared" si="39"/>
        <v>Below Average</v>
      </c>
      <c r="S637" s="5" t="str">
        <f>Table1[[#This Row],[Quarter]]&amp;" - "&amp;Table1[[#This Row],[City]]</f>
        <v>Q3 - Hyderabad</v>
      </c>
    </row>
    <row r="638" spans="1:19" x14ac:dyDescent="0.3">
      <c r="A638" t="s">
        <v>705</v>
      </c>
      <c r="B638" s="1">
        <v>45531</v>
      </c>
      <c r="C638" t="s">
        <v>630</v>
      </c>
      <c r="D638" t="s">
        <v>547</v>
      </c>
      <c r="E638" t="s">
        <v>25</v>
      </c>
      <c r="F638" t="s">
        <v>16</v>
      </c>
      <c r="G638" t="s">
        <v>41</v>
      </c>
      <c r="H638">
        <v>14</v>
      </c>
      <c r="I638">
        <v>2810</v>
      </c>
      <c r="J638">
        <v>0</v>
      </c>
      <c r="K638">
        <v>39340</v>
      </c>
      <c r="L638" t="s">
        <v>66</v>
      </c>
      <c r="M638" s="2">
        <f>Table1[[#This Row],[Revenue_INR]]-Table1[[#This Row],[Price_INR]]</f>
        <v>36530</v>
      </c>
      <c r="N638">
        <f>YEAR(Table1[[#This Row],[Date]])</f>
        <v>2024</v>
      </c>
      <c r="O638" s="2">
        <f t="shared" si="36"/>
        <v>2810</v>
      </c>
      <c r="P638" s="7">
        <f t="shared" si="37"/>
        <v>92.857142857142861</v>
      </c>
      <c r="Q638" s="2">
        <f t="shared" si="38"/>
        <v>0</v>
      </c>
      <c r="R638" s="5" t="str">
        <f t="shared" si="39"/>
        <v>Above Average</v>
      </c>
      <c r="S638" s="5" t="str">
        <f>Table1[[#This Row],[Quarter]]&amp;" - "&amp;Table1[[#This Row],[City]]</f>
        <v>Q3 - Hyderabad</v>
      </c>
    </row>
    <row r="639" spans="1:19" x14ac:dyDescent="0.3">
      <c r="A639" t="s">
        <v>706</v>
      </c>
      <c r="B639" s="1">
        <v>45531</v>
      </c>
      <c r="C639" t="s">
        <v>630</v>
      </c>
      <c r="D639" t="s">
        <v>547</v>
      </c>
      <c r="E639" t="s">
        <v>20</v>
      </c>
      <c r="F639" t="s">
        <v>47</v>
      </c>
      <c r="G639" t="s">
        <v>51</v>
      </c>
      <c r="H639">
        <v>13</v>
      </c>
      <c r="I639">
        <v>2650</v>
      </c>
      <c r="J639">
        <v>25</v>
      </c>
      <c r="K639">
        <v>25837.5</v>
      </c>
      <c r="L639" t="s">
        <v>39</v>
      </c>
      <c r="M639" s="2">
        <f>Table1[[#This Row],[Revenue_INR]]-Table1[[#This Row],[Price_INR]]</f>
        <v>23187.5</v>
      </c>
      <c r="N639">
        <f>YEAR(Table1[[#This Row],[Date]])</f>
        <v>2024</v>
      </c>
      <c r="O639" s="2">
        <f t="shared" si="36"/>
        <v>1987.5</v>
      </c>
      <c r="P639" s="7">
        <f t="shared" si="37"/>
        <v>89.743589743589752</v>
      </c>
      <c r="Q639" s="2">
        <f t="shared" si="38"/>
        <v>8612.5</v>
      </c>
      <c r="R639" s="5" t="str">
        <f t="shared" si="39"/>
        <v>Above Average</v>
      </c>
      <c r="S639" s="5" t="str">
        <f>Table1[[#This Row],[Quarter]]&amp;" - "&amp;Table1[[#This Row],[City]]</f>
        <v>Q3 - Mumbai</v>
      </c>
    </row>
    <row r="640" spans="1:19" x14ac:dyDescent="0.3">
      <c r="A640" t="s">
        <v>707</v>
      </c>
      <c r="B640" s="1">
        <v>45532</v>
      </c>
      <c r="C640" t="s">
        <v>630</v>
      </c>
      <c r="D640" t="s">
        <v>547</v>
      </c>
      <c r="E640" t="s">
        <v>34</v>
      </c>
      <c r="F640" t="s">
        <v>16</v>
      </c>
      <c r="G640" t="s">
        <v>41</v>
      </c>
      <c r="H640">
        <v>4</v>
      </c>
      <c r="I640">
        <v>930</v>
      </c>
      <c r="J640">
        <v>10</v>
      </c>
      <c r="K640">
        <v>3348</v>
      </c>
      <c r="L640" t="s">
        <v>45</v>
      </c>
      <c r="M640" s="2">
        <f>Table1[[#This Row],[Revenue_INR]]-Table1[[#This Row],[Price_INR]]</f>
        <v>2418</v>
      </c>
      <c r="N640">
        <f>YEAR(Table1[[#This Row],[Date]])</f>
        <v>2024</v>
      </c>
      <c r="O640" s="2">
        <f t="shared" si="36"/>
        <v>837</v>
      </c>
      <c r="P640" s="7">
        <f t="shared" si="37"/>
        <v>72.222222222222214</v>
      </c>
      <c r="Q640" s="2">
        <f t="shared" si="38"/>
        <v>372</v>
      </c>
      <c r="R640" s="5" t="str">
        <f t="shared" si="39"/>
        <v>Below Average</v>
      </c>
      <c r="S640" s="5" t="str">
        <f>Table1[[#This Row],[Quarter]]&amp;" - "&amp;Table1[[#This Row],[City]]</f>
        <v>Q3 - Delhi</v>
      </c>
    </row>
    <row r="641" spans="1:19" x14ac:dyDescent="0.3">
      <c r="A641" t="s">
        <v>708</v>
      </c>
      <c r="B641" s="1">
        <v>45533</v>
      </c>
      <c r="C641" t="s">
        <v>630</v>
      </c>
      <c r="D641" t="s">
        <v>547</v>
      </c>
      <c r="E641" t="s">
        <v>25</v>
      </c>
      <c r="F641" t="s">
        <v>16</v>
      </c>
      <c r="G641" t="s">
        <v>44</v>
      </c>
      <c r="H641">
        <v>7</v>
      </c>
      <c r="I641">
        <v>440</v>
      </c>
      <c r="J641">
        <v>10</v>
      </c>
      <c r="K641">
        <v>2772</v>
      </c>
      <c r="L641" t="s">
        <v>42</v>
      </c>
      <c r="M641" s="2">
        <f>Table1[[#This Row],[Revenue_INR]]-Table1[[#This Row],[Price_INR]]</f>
        <v>2332</v>
      </c>
      <c r="N641">
        <f>YEAR(Table1[[#This Row],[Date]])</f>
        <v>2024</v>
      </c>
      <c r="O641" s="2">
        <f t="shared" si="36"/>
        <v>396</v>
      </c>
      <c r="P641" s="7">
        <f t="shared" si="37"/>
        <v>84.126984126984127</v>
      </c>
      <c r="Q641" s="2">
        <f t="shared" si="38"/>
        <v>308</v>
      </c>
      <c r="R641" s="5" t="str">
        <f t="shared" si="39"/>
        <v>Below Average</v>
      </c>
      <c r="S641" s="5" t="str">
        <f>Table1[[#This Row],[Quarter]]&amp;" - "&amp;Table1[[#This Row],[City]]</f>
        <v>Q3 - Hyderabad</v>
      </c>
    </row>
    <row r="642" spans="1:19" x14ac:dyDescent="0.3">
      <c r="A642" t="s">
        <v>709</v>
      </c>
      <c r="B642" s="1">
        <v>45534</v>
      </c>
      <c r="C642" t="s">
        <v>630</v>
      </c>
      <c r="D642" t="s">
        <v>547</v>
      </c>
      <c r="E642" t="s">
        <v>15</v>
      </c>
      <c r="F642" t="s">
        <v>16</v>
      </c>
      <c r="G642" t="s">
        <v>17</v>
      </c>
      <c r="H642">
        <v>7</v>
      </c>
      <c r="I642">
        <v>800</v>
      </c>
      <c r="J642">
        <v>15</v>
      </c>
      <c r="K642">
        <v>4760</v>
      </c>
      <c r="L642" t="s">
        <v>92</v>
      </c>
      <c r="M642" s="2">
        <f>Table1[[#This Row],[Revenue_INR]]-Table1[[#This Row],[Price_INR]]</f>
        <v>3960</v>
      </c>
      <c r="N642">
        <f>YEAR(Table1[[#This Row],[Date]])</f>
        <v>2024</v>
      </c>
      <c r="O642" s="2">
        <f t="shared" ref="O642:O705" si="40">K642/H642</f>
        <v>680</v>
      </c>
      <c r="P642" s="7">
        <f t="shared" ref="P642:P705" si="41">M642/K642*100</f>
        <v>83.193277310924373</v>
      </c>
      <c r="Q642" s="2">
        <f t="shared" ref="Q642:Q705" si="42">I642*H642*J642/100</f>
        <v>840</v>
      </c>
      <c r="R642" s="5" t="str">
        <f t="shared" ref="R642:R705" si="43">IF(K642&gt;AVERAGE($K$2:$K$1001),"Above Average","Below Average")</f>
        <v>Below Average</v>
      </c>
      <c r="S642" s="5" t="str">
        <f>Table1[[#This Row],[Quarter]]&amp;" - "&amp;Table1[[#This Row],[City]]</f>
        <v>Q3 - Kolkata</v>
      </c>
    </row>
    <row r="643" spans="1:19" x14ac:dyDescent="0.3">
      <c r="A643" t="s">
        <v>710</v>
      </c>
      <c r="B643" s="1">
        <v>45534</v>
      </c>
      <c r="C643" t="s">
        <v>630</v>
      </c>
      <c r="D643" t="s">
        <v>547</v>
      </c>
      <c r="E643" t="s">
        <v>20</v>
      </c>
      <c r="F643" t="s">
        <v>31</v>
      </c>
      <c r="G643" t="s">
        <v>35</v>
      </c>
      <c r="H643">
        <v>9</v>
      </c>
      <c r="I643">
        <v>5850</v>
      </c>
      <c r="J643">
        <v>5</v>
      </c>
      <c r="K643">
        <v>50017.5</v>
      </c>
      <c r="L643" t="s">
        <v>23</v>
      </c>
      <c r="M643" s="2">
        <f>Table1[[#This Row],[Revenue_INR]]-Table1[[#This Row],[Price_INR]]</f>
        <v>44167.5</v>
      </c>
      <c r="N643">
        <f>YEAR(Table1[[#This Row],[Date]])</f>
        <v>2024</v>
      </c>
      <c r="O643" s="2">
        <f t="shared" si="40"/>
        <v>5557.5</v>
      </c>
      <c r="P643" s="7">
        <f t="shared" si="41"/>
        <v>88.304093567251456</v>
      </c>
      <c r="Q643" s="2">
        <f t="shared" si="42"/>
        <v>2632.5</v>
      </c>
      <c r="R643" s="5" t="str">
        <f t="shared" si="43"/>
        <v>Above Average</v>
      </c>
      <c r="S643" s="5" t="str">
        <f>Table1[[#This Row],[Quarter]]&amp;" - "&amp;Table1[[#This Row],[City]]</f>
        <v>Q3 - Mumbai</v>
      </c>
    </row>
    <row r="644" spans="1:19" x14ac:dyDescent="0.3">
      <c r="A644" t="s">
        <v>711</v>
      </c>
      <c r="B644" s="1">
        <v>45534</v>
      </c>
      <c r="C644" t="s">
        <v>630</v>
      </c>
      <c r="D644" t="s">
        <v>547</v>
      </c>
      <c r="E644" t="s">
        <v>15</v>
      </c>
      <c r="F644" t="s">
        <v>26</v>
      </c>
      <c r="G644" t="s">
        <v>58</v>
      </c>
      <c r="H644">
        <v>4</v>
      </c>
      <c r="I644">
        <v>11410</v>
      </c>
      <c r="J644">
        <v>20</v>
      </c>
      <c r="K644">
        <v>36512</v>
      </c>
      <c r="L644" t="s">
        <v>53</v>
      </c>
      <c r="M644" s="2">
        <f>Table1[[#This Row],[Revenue_INR]]-Table1[[#This Row],[Price_INR]]</f>
        <v>25102</v>
      </c>
      <c r="N644">
        <f>YEAR(Table1[[#This Row],[Date]])</f>
        <v>2024</v>
      </c>
      <c r="O644" s="2">
        <f t="shared" si="40"/>
        <v>9128</v>
      </c>
      <c r="P644" s="7">
        <f t="shared" si="41"/>
        <v>68.75</v>
      </c>
      <c r="Q644" s="2">
        <f t="shared" si="42"/>
        <v>9128</v>
      </c>
      <c r="R644" s="5" t="str">
        <f t="shared" si="43"/>
        <v>Above Average</v>
      </c>
      <c r="S644" s="5" t="str">
        <f>Table1[[#This Row],[Quarter]]&amp;" - "&amp;Table1[[#This Row],[City]]</f>
        <v>Q3 - Kolkata</v>
      </c>
    </row>
    <row r="645" spans="1:19" x14ac:dyDescent="0.3">
      <c r="A645" t="s">
        <v>712</v>
      </c>
      <c r="B645" s="1">
        <v>45535</v>
      </c>
      <c r="C645" t="s">
        <v>630</v>
      </c>
      <c r="D645" t="s">
        <v>547</v>
      </c>
      <c r="E645" t="s">
        <v>20</v>
      </c>
      <c r="F645" t="s">
        <v>16</v>
      </c>
      <c r="G645" t="s">
        <v>44</v>
      </c>
      <c r="H645">
        <v>14</v>
      </c>
      <c r="I645">
        <v>460</v>
      </c>
      <c r="J645">
        <v>10</v>
      </c>
      <c r="K645">
        <v>5796</v>
      </c>
      <c r="L645" t="s">
        <v>77</v>
      </c>
      <c r="M645" s="2">
        <f>Table1[[#This Row],[Revenue_INR]]-Table1[[#This Row],[Price_INR]]</f>
        <v>5336</v>
      </c>
      <c r="N645">
        <f>YEAR(Table1[[#This Row],[Date]])</f>
        <v>2024</v>
      </c>
      <c r="O645" s="2">
        <f t="shared" si="40"/>
        <v>414</v>
      </c>
      <c r="P645" s="7">
        <f t="shared" si="41"/>
        <v>92.063492063492063</v>
      </c>
      <c r="Q645" s="2">
        <f t="shared" si="42"/>
        <v>644</v>
      </c>
      <c r="R645" s="5" t="str">
        <f t="shared" si="43"/>
        <v>Below Average</v>
      </c>
      <c r="S645" s="5" t="str">
        <f>Table1[[#This Row],[Quarter]]&amp;" - "&amp;Table1[[#This Row],[City]]</f>
        <v>Q3 - Mumbai</v>
      </c>
    </row>
    <row r="646" spans="1:19" x14ac:dyDescent="0.3">
      <c r="A646" t="s">
        <v>713</v>
      </c>
      <c r="B646" s="1">
        <v>45535</v>
      </c>
      <c r="C646" t="s">
        <v>630</v>
      </c>
      <c r="D646" t="s">
        <v>547</v>
      </c>
      <c r="E646" t="s">
        <v>15</v>
      </c>
      <c r="F646" t="s">
        <v>26</v>
      </c>
      <c r="G646" t="s">
        <v>58</v>
      </c>
      <c r="H646">
        <v>11</v>
      </c>
      <c r="I646">
        <v>11480</v>
      </c>
      <c r="J646">
        <v>25</v>
      </c>
      <c r="K646">
        <v>94710</v>
      </c>
      <c r="L646" t="s">
        <v>18</v>
      </c>
      <c r="M646" s="2">
        <f>Table1[[#This Row],[Revenue_INR]]-Table1[[#This Row],[Price_INR]]</f>
        <v>83230</v>
      </c>
      <c r="N646">
        <f>YEAR(Table1[[#This Row],[Date]])</f>
        <v>2024</v>
      </c>
      <c r="O646" s="2">
        <f t="shared" si="40"/>
        <v>8610</v>
      </c>
      <c r="P646" s="7">
        <f t="shared" si="41"/>
        <v>87.878787878787875</v>
      </c>
      <c r="Q646" s="2">
        <f t="shared" si="42"/>
        <v>31570</v>
      </c>
      <c r="R646" s="5" t="str">
        <f t="shared" si="43"/>
        <v>Above Average</v>
      </c>
      <c r="S646" s="5" t="str">
        <f>Table1[[#This Row],[Quarter]]&amp;" - "&amp;Table1[[#This Row],[City]]</f>
        <v>Q3 - Kolkata</v>
      </c>
    </row>
    <row r="647" spans="1:19" x14ac:dyDescent="0.3">
      <c r="A647" t="s">
        <v>714</v>
      </c>
      <c r="B647" s="1">
        <v>45535</v>
      </c>
      <c r="C647" t="s">
        <v>630</v>
      </c>
      <c r="D647" t="s">
        <v>547</v>
      </c>
      <c r="E647" t="s">
        <v>15</v>
      </c>
      <c r="F647" t="s">
        <v>26</v>
      </c>
      <c r="G647" t="s">
        <v>58</v>
      </c>
      <c r="H647">
        <v>12</v>
      </c>
      <c r="I647">
        <v>11820</v>
      </c>
      <c r="J647">
        <v>30</v>
      </c>
      <c r="K647">
        <v>99288</v>
      </c>
      <c r="L647" t="s">
        <v>53</v>
      </c>
      <c r="M647" s="2">
        <f>Table1[[#This Row],[Revenue_INR]]-Table1[[#This Row],[Price_INR]]</f>
        <v>87468</v>
      </c>
      <c r="N647">
        <f>YEAR(Table1[[#This Row],[Date]])</f>
        <v>2024</v>
      </c>
      <c r="O647" s="2">
        <f t="shared" si="40"/>
        <v>8274</v>
      </c>
      <c r="P647" s="7">
        <f t="shared" si="41"/>
        <v>88.095238095238088</v>
      </c>
      <c r="Q647" s="2">
        <f t="shared" si="42"/>
        <v>42552</v>
      </c>
      <c r="R647" s="5" t="str">
        <f t="shared" si="43"/>
        <v>Above Average</v>
      </c>
      <c r="S647" s="5" t="str">
        <f>Table1[[#This Row],[Quarter]]&amp;" - "&amp;Table1[[#This Row],[City]]</f>
        <v>Q3 - Kolkata</v>
      </c>
    </row>
    <row r="648" spans="1:19" x14ac:dyDescent="0.3">
      <c r="A648" t="s">
        <v>715</v>
      </c>
      <c r="B648" s="1">
        <v>45535</v>
      </c>
      <c r="C648" t="s">
        <v>630</v>
      </c>
      <c r="D648" t="s">
        <v>547</v>
      </c>
      <c r="E648" t="s">
        <v>25</v>
      </c>
      <c r="F648" t="s">
        <v>31</v>
      </c>
      <c r="G648" t="s">
        <v>32</v>
      </c>
      <c r="H648">
        <v>11</v>
      </c>
      <c r="I648">
        <v>4430</v>
      </c>
      <c r="J648">
        <v>30</v>
      </c>
      <c r="K648">
        <v>34111</v>
      </c>
      <c r="L648" t="s">
        <v>66</v>
      </c>
      <c r="M648" s="2">
        <f>Table1[[#This Row],[Revenue_INR]]-Table1[[#This Row],[Price_INR]]</f>
        <v>29681</v>
      </c>
      <c r="N648">
        <f>YEAR(Table1[[#This Row],[Date]])</f>
        <v>2024</v>
      </c>
      <c r="O648" s="2">
        <f t="shared" si="40"/>
        <v>3101</v>
      </c>
      <c r="P648" s="7">
        <f t="shared" si="41"/>
        <v>87.012987012987011</v>
      </c>
      <c r="Q648" s="2">
        <f t="shared" si="42"/>
        <v>14619</v>
      </c>
      <c r="R648" s="5" t="str">
        <f t="shared" si="43"/>
        <v>Above Average</v>
      </c>
      <c r="S648" s="5" t="str">
        <f>Table1[[#This Row],[Quarter]]&amp;" - "&amp;Table1[[#This Row],[City]]</f>
        <v>Q3 - Hyderabad</v>
      </c>
    </row>
    <row r="649" spans="1:19" x14ac:dyDescent="0.3">
      <c r="A649" t="s">
        <v>716</v>
      </c>
      <c r="B649" s="1">
        <v>45535</v>
      </c>
      <c r="C649" t="s">
        <v>630</v>
      </c>
      <c r="D649" t="s">
        <v>547</v>
      </c>
      <c r="E649" t="s">
        <v>34</v>
      </c>
      <c r="F649" t="s">
        <v>31</v>
      </c>
      <c r="G649" t="s">
        <v>32</v>
      </c>
      <c r="H649">
        <v>10</v>
      </c>
      <c r="I649">
        <v>5750</v>
      </c>
      <c r="J649">
        <v>20</v>
      </c>
      <c r="K649">
        <v>46000</v>
      </c>
      <c r="L649" t="s">
        <v>36</v>
      </c>
      <c r="M649" s="2">
        <f>Table1[[#This Row],[Revenue_INR]]-Table1[[#This Row],[Price_INR]]</f>
        <v>40250</v>
      </c>
      <c r="N649">
        <f>YEAR(Table1[[#This Row],[Date]])</f>
        <v>2024</v>
      </c>
      <c r="O649" s="2">
        <f t="shared" si="40"/>
        <v>4600</v>
      </c>
      <c r="P649" s="7">
        <f t="shared" si="41"/>
        <v>87.5</v>
      </c>
      <c r="Q649" s="2">
        <f t="shared" si="42"/>
        <v>11500</v>
      </c>
      <c r="R649" s="5" t="str">
        <f t="shared" si="43"/>
        <v>Above Average</v>
      </c>
      <c r="S649" s="5" t="str">
        <f>Table1[[#This Row],[Quarter]]&amp;" - "&amp;Table1[[#This Row],[City]]</f>
        <v>Q3 - Delhi</v>
      </c>
    </row>
    <row r="650" spans="1:19" x14ac:dyDescent="0.3">
      <c r="A650" t="s">
        <v>717</v>
      </c>
      <c r="B650" s="1">
        <v>45535</v>
      </c>
      <c r="C650" t="s">
        <v>630</v>
      </c>
      <c r="D650" t="s">
        <v>547</v>
      </c>
      <c r="E650" t="s">
        <v>20</v>
      </c>
      <c r="F650" t="s">
        <v>26</v>
      </c>
      <c r="G650" t="s">
        <v>58</v>
      </c>
      <c r="H650">
        <v>10</v>
      </c>
      <c r="I650">
        <v>4230</v>
      </c>
      <c r="J650">
        <v>25</v>
      </c>
      <c r="K650">
        <v>31725</v>
      </c>
      <c r="L650" t="s">
        <v>23</v>
      </c>
      <c r="M650" s="2">
        <f>Table1[[#This Row],[Revenue_INR]]-Table1[[#This Row],[Price_INR]]</f>
        <v>27495</v>
      </c>
      <c r="N650">
        <f>YEAR(Table1[[#This Row],[Date]])</f>
        <v>2024</v>
      </c>
      <c r="O650" s="2">
        <f t="shared" si="40"/>
        <v>3172.5</v>
      </c>
      <c r="P650" s="7">
        <f t="shared" si="41"/>
        <v>86.666666666666671</v>
      </c>
      <c r="Q650" s="2">
        <f t="shared" si="42"/>
        <v>10575</v>
      </c>
      <c r="R650" s="5" t="str">
        <f t="shared" si="43"/>
        <v>Above Average</v>
      </c>
      <c r="S650" s="5" t="str">
        <f>Table1[[#This Row],[Quarter]]&amp;" - "&amp;Table1[[#This Row],[City]]</f>
        <v>Q3 - Mumbai</v>
      </c>
    </row>
    <row r="651" spans="1:19" x14ac:dyDescent="0.3">
      <c r="A651" t="s">
        <v>718</v>
      </c>
      <c r="B651" s="1">
        <v>45535</v>
      </c>
      <c r="C651" t="s">
        <v>630</v>
      </c>
      <c r="D651" t="s">
        <v>547</v>
      </c>
      <c r="E651" t="s">
        <v>20</v>
      </c>
      <c r="F651" t="s">
        <v>60</v>
      </c>
      <c r="G651" t="s">
        <v>99</v>
      </c>
      <c r="H651">
        <v>6</v>
      </c>
      <c r="I651">
        <v>2230</v>
      </c>
      <c r="J651">
        <v>30</v>
      </c>
      <c r="K651">
        <v>9366</v>
      </c>
      <c r="L651" t="s">
        <v>23</v>
      </c>
      <c r="M651" s="2">
        <f>Table1[[#This Row],[Revenue_INR]]-Table1[[#This Row],[Price_INR]]</f>
        <v>7136</v>
      </c>
      <c r="N651">
        <f>YEAR(Table1[[#This Row],[Date]])</f>
        <v>2024</v>
      </c>
      <c r="O651" s="2">
        <f t="shared" si="40"/>
        <v>1561</v>
      </c>
      <c r="P651" s="7">
        <f t="shared" si="41"/>
        <v>76.19047619047619</v>
      </c>
      <c r="Q651" s="2">
        <f t="shared" si="42"/>
        <v>4014</v>
      </c>
      <c r="R651" s="5" t="str">
        <f t="shared" si="43"/>
        <v>Below Average</v>
      </c>
      <c r="S651" s="5" t="str">
        <f>Table1[[#This Row],[Quarter]]&amp;" - "&amp;Table1[[#This Row],[City]]</f>
        <v>Q3 - Mumbai</v>
      </c>
    </row>
    <row r="652" spans="1:19" x14ac:dyDescent="0.3">
      <c r="A652" t="s">
        <v>719</v>
      </c>
      <c r="B652" s="1">
        <v>45536</v>
      </c>
      <c r="C652" t="s">
        <v>720</v>
      </c>
      <c r="D652" t="s">
        <v>547</v>
      </c>
      <c r="E652" t="s">
        <v>25</v>
      </c>
      <c r="F652" t="s">
        <v>16</v>
      </c>
      <c r="G652" t="s">
        <v>69</v>
      </c>
      <c r="H652">
        <v>12</v>
      </c>
      <c r="I652">
        <v>1270</v>
      </c>
      <c r="J652">
        <v>30</v>
      </c>
      <c r="K652">
        <v>10668</v>
      </c>
      <c r="L652" t="s">
        <v>42</v>
      </c>
      <c r="M652" s="2">
        <f>Table1[[#This Row],[Revenue_INR]]-Table1[[#This Row],[Price_INR]]</f>
        <v>9398</v>
      </c>
      <c r="N652">
        <f>YEAR(Table1[[#This Row],[Date]])</f>
        <v>2024</v>
      </c>
      <c r="O652" s="2">
        <f t="shared" si="40"/>
        <v>889</v>
      </c>
      <c r="P652" s="7">
        <f t="shared" si="41"/>
        <v>88.095238095238088</v>
      </c>
      <c r="Q652" s="2">
        <f t="shared" si="42"/>
        <v>4572</v>
      </c>
      <c r="R652" s="5" t="str">
        <f t="shared" si="43"/>
        <v>Below Average</v>
      </c>
      <c r="S652" s="5" t="str">
        <f>Table1[[#This Row],[Quarter]]&amp;" - "&amp;Table1[[#This Row],[City]]</f>
        <v>Q3 - Hyderabad</v>
      </c>
    </row>
    <row r="653" spans="1:19" x14ac:dyDescent="0.3">
      <c r="A653" t="s">
        <v>721</v>
      </c>
      <c r="B653" s="1">
        <v>45536</v>
      </c>
      <c r="C653" t="s">
        <v>720</v>
      </c>
      <c r="D653" t="s">
        <v>547</v>
      </c>
      <c r="E653" t="s">
        <v>25</v>
      </c>
      <c r="F653" t="s">
        <v>60</v>
      </c>
      <c r="G653" t="s">
        <v>85</v>
      </c>
      <c r="H653">
        <v>15</v>
      </c>
      <c r="I653">
        <v>1370</v>
      </c>
      <c r="J653">
        <v>15</v>
      </c>
      <c r="K653">
        <v>17467.5</v>
      </c>
      <c r="L653" t="s">
        <v>66</v>
      </c>
      <c r="M653" s="2">
        <f>Table1[[#This Row],[Revenue_INR]]-Table1[[#This Row],[Price_INR]]</f>
        <v>16097.5</v>
      </c>
      <c r="N653">
        <f>YEAR(Table1[[#This Row],[Date]])</f>
        <v>2024</v>
      </c>
      <c r="O653" s="2">
        <f t="shared" si="40"/>
        <v>1164.5</v>
      </c>
      <c r="P653" s="7">
        <f t="shared" si="41"/>
        <v>92.156862745098039</v>
      </c>
      <c r="Q653" s="2">
        <f t="shared" si="42"/>
        <v>3082.5</v>
      </c>
      <c r="R653" s="5" t="str">
        <f t="shared" si="43"/>
        <v>Below Average</v>
      </c>
      <c r="S653" s="5" t="str">
        <f>Table1[[#This Row],[Quarter]]&amp;" - "&amp;Table1[[#This Row],[City]]</f>
        <v>Q3 - Hyderabad</v>
      </c>
    </row>
    <row r="654" spans="1:19" x14ac:dyDescent="0.3">
      <c r="A654" t="s">
        <v>722</v>
      </c>
      <c r="B654" s="1">
        <v>45536</v>
      </c>
      <c r="C654" t="s">
        <v>720</v>
      </c>
      <c r="D654" t="s">
        <v>547</v>
      </c>
      <c r="E654" t="s">
        <v>34</v>
      </c>
      <c r="F654" t="s">
        <v>47</v>
      </c>
      <c r="G654" t="s">
        <v>55</v>
      </c>
      <c r="H654">
        <v>8</v>
      </c>
      <c r="I654">
        <v>6810</v>
      </c>
      <c r="J654">
        <v>30</v>
      </c>
      <c r="K654">
        <v>38136</v>
      </c>
      <c r="L654" t="s">
        <v>49</v>
      </c>
      <c r="M654" s="2">
        <f>Table1[[#This Row],[Revenue_INR]]-Table1[[#This Row],[Price_INR]]</f>
        <v>31326</v>
      </c>
      <c r="N654">
        <f>YEAR(Table1[[#This Row],[Date]])</f>
        <v>2024</v>
      </c>
      <c r="O654" s="2">
        <f t="shared" si="40"/>
        <v>4767</v>
      </c>
      <c r="P654" s="7">
        <f t="shared" si="41"/>
        <v>82.142857142857139</v>
      </c>
      <c r="Q654" s="2">
        <f t="shared" si="42"/>
        <v>16344</v>
      </c>
      <c r="R654" s="5" t="str">
        <f t="shared" si="43"/>
        <v>Above Average</v>
      </c>
      <c r="S654" s="5" t="str">
        <f>Table1[[#This Row],[Quarter]]&amp;" - "&amp;Table1[[#This Row],[City]]</f>
        <v>Q3 - Delhi</v>
      </c>
    </row>
    <row r="655" spans="1:19" x14ac:dyDescent="0.3">
      <c r="A655" t="s">
        <v>723</v>
      </c>
      <c r="B655" s="1">
        <v>45537</v>
      </c>
      <c r="C655" t="s">
        <v>720</v>
      </c>
      <c r="D655" t="s">
        <v>547</v>
      </c>
      <c r="E655" t="s">
        <v>25</v>
      </c>
      <c r="F655" t="s">
        <v>47</v>
      </c>
      <c r="G655" t="s">
        <v>48</v>
      </c>
      <c r="H655">
        <v>8</v>
      </c>
      <c r="I655">
        <v>7040</v>
      </c>
      <c r="J655">
        <v>25</v>
      </c>
      <c r="K655">
        <v>42240</v>
      </c>
      <c r="L655" t="s">
        <v>28</v>
      </c>
      <c r="M655" s="2">
        <f>Table1[[#This Row],[Revenue_INR]]-Table1[[#This Row],[Price_INR]]</f>
        <v>35200</v>
      </c>
      <c r="N655">
        <f>YEAR(Table1[[#This Row],[Date]])</f>
        <v>2024</v>
      </c>
      <c r="O655" s="2">
        <f t="shared" si="40"/>
        <v>5280</v>
      </c>
      <c r="P655" s="7">
        <f t="shared" si="41"/>
        <v>83.333333333333343</v>
      </c>
      <c r="Q655" s="2">
        <f t="shared" si="42"/>
        <v>14080</v>
      </c>
      <c r="R655" s="5" t="str">
        <f t="shared" si="43"/>
        <v>Above Average</v>
      </c>
      <c r="S655" s="5" t="str">
        <f>Table1[[#This Row],[Quarter]]&amp;" - "&amp;Table1[[#This Row],[City]]</f>
        <v>Q3 - Hyderabad</v>
      </c>
    </row>
    <row r="656" spans="1:19" x14ac:dyDescent="0.3">
      <c r="A656" t="s">
        <v>724</v>
      </c>
      <c r="B656" s="1">
        <v>45537</v>
      </c>
      <c r="C656" t="s">
        <v>720</v>
      </c>
      <c r="D656" t="s">
        <v>547</v>
      </c>
      <c r="E656" t="s">
        <v>25</v>
      </c>
      <c r="F656" t="s">
        <v>26</v>
      </c>
      <c r="G656" t="s">
        <v>58</v>
      </c>
      <c r="H656">
        <v>2</v>
      </c>
      <c r="I656">
        <v>5390</v>
      </c>
      <c r="J656">
        <v>25</v>
      </c>
      <c r="K656">
        <v>8085</v>
      </c>
      <c r="L656" t="s">
        <v>42</v>
      </c>
      <c r="M656" s="2">
        <f>Table1[[#This Row],[Revenue_INR]]-Table1[[#This Row],[Price_INR]]</f>
        <v>2695</v>
      </c>
      <c r="N656">
        <f>YEAR(Table1[[#This Row],[Date]])</f>
        <v>2024</v>
      </c>
      <c r="O656" s="2">
        <f t="shared" si="40"/>
        <v>4042.5</v>
      </c>
      <c r="P656" s="7">
        <f t="shared" si="41"/>
        <v>33.333333333333329</v>
      </c>
      <c r="Q656" s="2">
        <f t="shared" si="42"/>
        <v>2695</v>
      </c>
      <c r="R656" s="5" t="str">
        <f t="shared" si="43"/>
        <v>Below Average</v>
      </c>
      <c r="S656" s="5" t="str">
        <f>Table1[[#This Row],[Quarter]]&amp;" - "&amp;Table1[[#This Row],[City]]</f>
        <v>Q3 - Hyderabad</v>
      </c>
    </row>
    <row r="657" spans="1:19" x14ac:dyDescent="0.3">
      <c r="A657" t="s">
        <v>725</v>
      </c>
      <c r="B657" s="1">
        <v>45537</v>
      </c>
      <c r="C657" t="s">
        <v>720</v>
      </c>
      <c r="D657" t="s">
        <v>547</v>
      </c>
      <c r="E657" t="s">
        <v>25</v>
      </c>
      <c r="F657" t="s">
        <v>31</v>
      </c>
      <c r="G657" t="s">
        <v>38</v>
      </c>
      <c r="H657">
        <v>12</v>
      </c>
      <c r="I657">
        <v>4020</v>
      </c>
      <c r="J657">
        <v>5</v>
      </c>
      <c r="K657">
        <v>45828</v>
      </c>
      <c r="L657" t="s">
        <v>28</v>
      </c>
      <c r="M657" s="2">
        <f>Table1[[#This Row],[Revenue_INR]]-Table1[[#This Row],[Price_INR]]</f>
        <v>41808</v>
      </c>
      <c r="N657">
        <f>YEAR(Table1[[#This Row],[Date]])</f>
        <v>2024</v>
      </c>
      <c r="O657" s="2">
        <f t="shared" si="40"/>
        <v>3819</v>
      </c>
      <c r="P657" s="7">
        <f t="shared" si="41"/>
        <v>91.228070175438589</v>
      </c>
      <c r="Q657" s="2">
        <f t="shared" si="42"/>
        <v>2412</v>
      </c>
      <c r="R657" s="5" t="str">
        <f t="shared" si="43"/>
        <v>Above Average</v>
      </c>
      <c r="S657" s="5" t="str">
        <f>Table1[[#This Row],[Quarter]]&amp;" - "&amp;Table1[[#This Row],[City]]</f>
        <v>Q3 - Hyderabad</v>
      </c>
    </row>
    <row r="658" spans="1:19" x14ac:dyDescent="0.3">
      <c r="A658" t="s">
        <v>726</v>
      </c>
      <c r="B658" s="1">
        <v>45537</v>
      </c>
      <c r="C658" t="s">
        <v>720</v>
      </c>
      <c r="D658" t="s">
        <v>547</v>
      </c>
      <c r="E658" t="s">
        <v>25</v>
      </c>
      <c r="F658" t="s">
        <v>26</v>
      </c>
      <c r="G658" t="s">
        <v>80</v>
      </c>
      <c r="H658">
        <v>7</v>
      </c>
      <c r="I658">
        <v>2260</v>
      </c>
      <c r="J658">
        <v>25</v>
      </c>
      <c r="K658">
        <v>11865</v>
      </c>
      <c r="L658" t="s">
        <v>66</v>
      </c>
      <c r="M658" s="2">
        <f>Table1[[#This Row],[Revenue_INR]]-Table1[[#This Row],[Price_INR]]</f>
        <v>9605</v>
      </c>
      <c r="N658">
        <f>YEAR(Table1[[#This Row],[Date]])</f>
        <v>2024</v>
      </c>
      <c r="O658" s="2">
        <f t="shared" si="40"/>
        <v>1695</v>
      </c>
      <c r="P658" s="7">
        <f t="shared" si="41"/>
        <v>80.952380952380949</v>
      </c>
      <c r="Q658" s="2">
        <f t="shared" si="42"/>
        <v>3955</v>
      </c>
      <c r="R658" s="5" t="str">
        <f t="shared" si="43"/>
        <v>Below Average</v>
      </c>
      <c r="S658" s="5" t="str">
        <f>Table1[[#This Row],[Quarter]]&amp;" - "&amp;Table1[[#This Row],[City]]</f>
        <v>Q3 - Hyderabad</v>
      </c>
    </row>
    <row r="659" spans="1:19" x14ac:dyDescent="0.3">
      <c r="A659" t="s">
        <v>727</v>
      </c>
      <c r="B659" s="1">
        <v>45538</v>
      </c>
      <c r="C659" t="s">
        <v>720</v>
      </c>
      <c r="D659" t="s">
        <v>547</v>
      </c>
      <c r="E659" t="s">
        <v>20</v>
      </c>
      <c r="F659" t="s">
        <v>26</v>
      </c>
      <c r="G659" t="s">
        <v>58</v>
      </c>
      <c r="H659">
        <v>2</v>
      </c>
      <c r="I659">
        <v>9610</v>
      </c>
      <c r="J659">
        <v>20</v>
      </c>
      <c r="K659">
        <v>15376</v>
      </c>
      <c r="L659" t="s">
        <v>77</v>
      </c>
      <c r="M659" s="2">
        <f>Table1[[#This Row],[Revenue_INR]]-Table1[[#This Row],[Price_INR]]</f>
        <v>5766</v>
      </c>
      <c r="N659">
        <f>YEAR(Table1[[#This Row],[Date]])</f>
        <v>2024</v>
      </c>
      <c r="O659" s="2">
        <f t="shared" si="40"/>
        <v>7688</v>
      </c>
      <c r="P659" s="7">
        <f t="shared" si="41"/>
        <v>37.5</v>
      </c>
      <c r="Q659" s="2">
        <f t="shared" si="42"/>
        <v>3844</v>
      </c>
      <c r="R659" s="5" t="str">
        <f t="shared" si="43"/>
        <v>Below Average</v>
      </c>
      <c r="S659" s="5" t="str">
        <f>Table1[[#This Row],[Quarter]]&amp;" - "&amp;Table1[[#This Row],[City]]</f>
        <v>Q3 - Mumbai</v>
      </c>
    </row>
    <row r="660" spans="1:19" x14ac:dyDescent="0.3">
      <c r="A660" t="s">
        <v>728</v>
      </c>
      <c r="B660" s="1">
        <v>45538</v>
      </c>
      <c r="C660" t="s">
        <v>720</v>
      </c>
      <c r="D660" t="s">
        <v>547</v>
      </c>
      <c r="E660" t="s">
        <v>15</v>
      </c>
      <c r="F660" t="s">
        <v>16</v>
      </c>
      <c r="G660" t="s">
        <v>41</v>
      </c>
      <c r="H660">
        <v>14</v>
      </c>
      <c r="I660">
        <v>2720</v>
      </c>
      <c r="J660">
        <v>0</v>
      </c>
      <c r="K660">
        <v>38080</v>
      </c>
      <c r="L660" t="s">
        <v>92</v>
      </c>
      <c r="M660" s="2">
        <f>Table1[[#This Row],[Revenue_INR]]-Table1[[#This Row],[Price_INR]]</f>
        <v>35360</v>
      </c>
      <c r="N660">
        <f>YEAR(Table1[[#This Row],[Date]])</f>
        <v>2024</v>
      </c>
      <c r="O660" s="2">
        <f t="shared" si="40"/>
        <v>2720</v>
      </c>
      <c r="P660" s="7">
        <f t="shared" si="41"/>
        <v>92.857142857142861</v>
      </c>
      <c r="Q660" s="2">
        <f t="shared" si="42"/>
        <v>0</v>
      </c>
      <c r="R660" s="5" t="str">
        <f t="shared" si="43"/>
        <v>Above Average</v>
      </c>
      <c r="S660" s="5" t="str">
        <f>Table1[[#This Row],[Quarter]]&amp;" - "&amp;Table1[[#This Row],[City]]</f>
        <v>Q3 - Kolkata</v>
      </c>
    </row>
    <row r="661" spans="1:19" x14ac:dyDescent="0.3">
      <c r="A661" t="s">
        <v>729</v>
      </c>
      <c r="B661" s="1">
        <v>45538</v>
      </c>
      <c r="C661" t="s">
        <v>720</v>
      </c>
      <c r="D661" t="s">
        <v>547</v>
      </c>
      <c r="E661" t="s">
        <v>25</v>
      </c>
      <c r="F661" t="s">
        <v>60</v>
      </c>
      <c r="G661" t="s">
        <v>124</v>
      </c>
      <c r="H661">
        <v>14</v>
      </c>
      <c r="I661">
        <v>2410</v>
      </c>
      <c r="J661">
        <v>30</v>
      </c>
      <c r="K661">
        <v>23618</v>
      </c>
      <c r="L661" t="s">
        <v>42</v>
      </c>
      <c r="M661" s="2">
        <f>Table1[[#This Row],[Revenue_INR]]-Table1[[#This Row],[Price_INR]]</f>
        <v>21208</v>
      </c>
      <c r="N661">
        <f>YEAR(Table1[[#This Row],[Date]])</f>
        <v>2024</v>
      </c>
      <c r="O661" s="2">
        <f t="shared" si="40"/>
        <v>1687</v>
      </c>
      <c r="P661" s="7">
        <f t="shared" si="41"/>
        <v>89.795918367346943</v>
      </c>
      <c r="Q661" s="2">
        <f t="shared" si="42"/>
        <v>10122</v>
      </c>
      <c r="R661" s="5" t="str">
        <f t="shared" si="43"/>
        <v>Below Average</v>
      </c>
      <c r="S661" s="5" t="str">
        <f>Table1[[#This Row],[Quarter]]&amp;" - "&amp;Table1[[#This Row],[City]]</f>
        <v>Q3 - Hyderabad</v>
      </c>
    </row>
    <row r="662" spans="1:19" x14ac:dyDescent="0.3">
      <c r="A662" t="s">
        <v>730</v>
      </c>
      <c r="B662" s="1">
        <v>45539</v>
      </c>
      <c r="C662" t="s">
        <v>720</v>
      </c>
      <c r="D662" t="s">
        <v>547</v>
      </c>
      <c r="E662" t="s">
        <v>25</v>
      </c>
      <c r="F662" t="s">
        <v>60</v>
      </c>
      <c r="G662" t="s">
        <v>85</v>
      </c>
      <c r="H662">
        <v>7</v>
      </c>
      <c r="I662">
        <v>1420</v>
      </c>
      <c r="J662">
        <v>10</v>
      </c>
      <c r="K662">
        <v>8946</v>
      </c>
      <c r="L662" t="s">
        <v>42</v>
      </c>
      <c r="M662" s="2">
        <f>Table1[[#This Row],[Revenue_INR]]-Table1[[#This Row],[Price_INR]]</f>
        <v>7526</v>
      </c>
      <c r="N662">
        <f>YEAR(Table1[[#This Row],[Date]])</f>
        <v>2024</v>
      </c>
      <c r="O662" s="2">
        <f t="shared" si="40"/>
        <v>1278</v>
      </c>
      <c r="P662" s="7">
        <f t="shared" si="41"/>
        <v>84.126984126984127</v>
      </c>
      <c r="Q662" s="2">
        <f t="shared" si="42"/>
        <v>994</v>
      </c>
      <c r="R662" s="5" t="str">
        <f t="shared" si="43"/>
        <v>Below Average</v>
      </c>
      <c r="S662" s="5" t="str">
        <f>Table1[[#This Row],[Quarter]]&amp;" - "&amp;Table1[[#This Row],[City]]</f>
        <v>Q3 - Hyderabad</v>
      </c>
    </row>
    <row r="663" spans="1:19" x14ac:dyDescent="0.3">
      <c r="A663" t="s">
        <v>731</v>
      </c>
      <c r="B663" s="1">
        <v>45540</v>
      </c>
      <c r="C663" t="s">
        <v>720</v>
      </c>
      <c r="D663" t="s">
        <v>547</v>
      </c>
      <c r="E663" t="s">
        <v>15</v>
      </c>
      <c r="F663" t="s">
        <v>31</v>
      </c>
      <c r="G663" t="s">
        <v>131</v>
      </c>
      <c r="H663">
        <v>6</v>
      </c>
      <c r="I663">
        <v>1320</v>
      </c>
      <c r="J663">
        <v>15</v>
      </c>
      <c r="K663">
        <v>6732</v>
      </c>
      <c r="L663" t="s">
        <v>18</v>
      </c>
      <c r="M663" s="2">
        <f>Table1[[#This Row],[Revenue_INR]]-Table1[[#This Row],[Price_INR]]</f>
        <v>5412</v>
      </c>
      <c r="N663">
        <f>YEAR(Table1[[#This Row],[Date]])</f>
        <v>2024</v>
      </c>
      <c r="O663" s="2">
        <f t="shared" si="40"/>
        <v>1122</v>
      </c>
      <c r="P663" s="7">
        <f t="shared" si="41"/>
        <v>80.392156862745097</v>
      </c>
      <c r="Q663" s="2">
        <f t="shared" si="42"/>
        <v>1188</v>
      </c>
      <c r="R663" s="5" t="str">
        <f t="shared" si="43"/>
        <v>Below Average</v>
      </c>
      <c r="S663" s="5" t="str">
        <f>Table1[[#This Row],[Quarter]]&amp;" - "&amp;Table1[[#This Row],[City]]</f>
        <v>Q3 - Kolkata</v>
      </c>
    </row>
    <row r="664" spans="1:19" x14ac:dyDescent="0.3">
      <c r="A664" t="s">
        <v>732</v>
      </c>
      <c r="B664" s="1">
        <v>45540</v>
      </c>
      <c r="C664" t="s">
        <v>720</v>
      </c>
      <c r="D664" t="s">
        <v>547</v>
      </c>
      <c r="E664" t="s">
        <v>34</v>
      </c>
      <c r="F664" t="s">
        <v>47</v>
      </c>
      <c r="G664" t="s">
        <v>48</v>
      </c>
      <c r="H664">
        <v>13</v>
      </c>
      <c r="I664">
        <v>6590</v>
      </c>
      <c r="J664">
        <v>10</v>
      </c>
      <c r="K664">
        <v>77103</v>
      </c>
      <c r="L664" t="s">
        <v>36</v>
      </c>
      <c r="M664" s="2">
        <f>Table1[[#This Row],[Revenue_INR]]-Table1[[#This Row],[Price_INR]]</f>
        <v>70513</v>
      </c>
      <c r="N664">
        <f>YEAR(Table1[[#This Row],[Date]])</f>
        <v>2024</v>
      </c>
      <c r="O664" s="2">
        <f t="shared" si="40"/>
        <v>5931</v>
      </c>
      <c r="P664" s="7">
        <f t="shared" si="41"/>
        <v>91.452991452991455</v>
      </c>
      <c r="Q664" s="2">
        <f t="shared" si="42"/>
        <v>8567</v>
      </c>
      <c r="R664" s="5" t="str">
        <f t="shared" si="43"/>
        <v>Above Average</v>
      </c>
      <c r="S664" s="5" t="str">
        <f>Table1[[#This Row],[Quarter]]&amp;" - "&amp;Table1[[#This Row],[City]]</f>
        <v>Q3 - Delhi</v>
      </c>
    </row>
    <row r="665" spans="1:19" x14ac:dyDescent="0.3">
      <c r="A665" t="s">
        <v>733</v>
      </c>
      <c r="B665" s="1">
        <v>45541</v>
      </c>
      <c r="C665" t="s">
        <v>720</v>
      </c>
      <c r="D665" t="s">
        <v>547</v>
      </c>
      <c r="E665" t="s">
        <v>34</v>
      </c>
      <c r="F665" t="s">
        <v>16</v>
      </c>
      <c r="G665" t="s">
        <v>41</v>
      </c>
      <c r="H665">
        <v>11</v>
      </c>
      <c r="I665">
        <v>2880</v>
      </c>
      <c r="J665">
        <v>25</v>
      </c>
      <c r="K665">
        <v>23760</v>
      </c>
      <c r="L665" t="s">
        <v>36</v>
      </c>
      <c r="M665" s="2">
        <f>Table1[[#This Row],[Revenue_INR]]-Table1[[#This Row],[Price_INR]]</f>
        <v>20880</v>
      </c>
      <c r="N665">
        <f>YEAR(Table1[[#This Row],[Date]])</f>
        <v>2024</v>
      </c>
      <c r="O665" s="2">
        <f t="shared" si="40"/>
        <v>2160</v>
      </c>
      <c r="P665" s="7">
        <f t="shared" si="41"/>
        <v>87.878787878787875</v>
      </c>
      <c r="Q665" s="2">
        <f t="shared" si="42"/>
        <v>7920</v>
      </c>
      <c r="R665" s="5" t="str">
        <f t="shared" si="43"/>
        <v>Below Average</v>
      </c>
      <c r="S665" s="5" t="str">
        <f>Table1[[#This Row],[Quarter]]&amp;" - "&amp;Table1[[#This Row],[City]]</f>
        <v>Q3 - Delhi</v>
      </c>
    </row>
    <row r="666" spans="1:19" x14ac:dyDescent="0.3">
      <c r="A666" t="s">
        <v>734</v>
      </c>
      <c r="B666" s="1">
        <v>45541</v>
      </c>
      <c r="C666" t="s">
        <v>720</v>
      </c>
      <c r="D666" t="s">
        <v>547</v>
      </c>
      <c r="E666" t="s">
        <v>34</v>
      </c>
      <c r="F666" t="s">
        <v>60</v>
      </c>
      <c r="G666" t="s">
        <v>99</v>
      </c>
      <c r="H666">
        <v>9</v>
      </c>
      <c r="I666">
        <v>1580</v>
      </c>
      <c r="J666">
        <v>15</v>
      </c>
      <c r="K666">
        <v>12087</v>
      </c>
      <c r="L666" t="s">
        <v>45</v>
      </c>
      <c r="M666" s="2">
        <f>Table1[[#This Row],[Revenue_INR]]-Table1[[#This Row],[Price_INR]]</f>
        <v>10507</v>
      </c>
      <c r="N666">
        <f>YEAR(Table1[[#This Row],[Date]])</f>
        <v>2024</v>
      </c>
      <c r="O666" s="2">
        <f t="shared" si="40"/>
        <v>1343</v>
      </c>
      <c r="P666" s="7">
        <f t="shared" si="41"/>
        <v>86.928104575163403</v>
      </c>
      <c r="Q666" s="2">
        <f t="shared" si="42"/>
        <v>2133</v>
      </c>
      <c r="R666" s="5" t="str">
        <f t="shared" si="43"/>
        <v>Below Average</v>
      </c>
      <c r="S666" s="5" t="str">
        <f>Table1[[#This Row],[Quarter]]&amp;" - "&amp;Table1[[#This Row],[City]]</f>
        <v>Q3 - Delhi</v>
      </c>
    </row>
    <row r="667" spans="1:19" x14ac:dyDescent="0.3">
      <c r="A667" t="s">
        <v>735</v>
      </c>
      <c r="B667" s="1">
        <v>45541</v>
      </c>
      <c r="C667" t="s">
        <v>720</v>
      </c>
      <c r="D667" t="s">
        <v>547</v>
      </c>
      <c r="E667" t="s">
        <v>15</v>
      </c>
      <c r="F667" t="s">
        <v>31</v>
      </c>
      <c r="G667" t="s">
        <v>131</v>
      </c>
      <c r="H667">
        <v>6</v>
      </c>
      <c r="I667">
        <v>3470</v>
      </c>
      <c r="J667">
        <v>5</v>
      </c>
      <c r="K667">
        <v>19779</v>
      </c>
      <c r="L667" t="s">
        <v>92</v>
      </c>
      <c r="M667" s="2">
        <f>Table1[[#This Row],[Revenue_INR]]-Table1[[#This Row],[Price_INR]]</f>
        <v>16309</v>
      </c>
      <c r="N667">
        <f>YEAR(Table1[[#This Row],[Date]])</f>
        <v>2024</v>
      </c>
      <c r="O667" s="2">
        <f t="shared" si="40"/>
        <v>3296.5</v>
      </c>
      <c r="P667" s="7">
        <f t="shared" si="41"/>
        <v>82.456140350877192</v>
      </c>
      <c r="Q667" s="2">
        <f t="shared" si="42"/>
        <v>1041</v>
      </c>
      <c r="R667" s="5" t="str">
        <f t="shared" si="43"/>
        <v>Below Average</v>
      </c>
      <c r="S667" s="5" t="str">
        <f>Table1[[#This Row],[Quarter]]&amp;" - "&amp;Table1[[#This Row],[City]]</f>
        <v>Q3 - Kolkata</v>
      </c>
    </row>
    <row r="668" spans="1:19" x14ac:dyDescent="0.3">
      <c r="A668" t="s">
        <v>736</v>
      </c>
      <c r="B668" s="1">
        <v>45541</v>
      </c>
      <c r="C668" t="s">
        <v>720</v>
      </c>
      <c r="D668" t="s">
        <v>547</v>
      </c>
      <c r="E668" t="s">
        <v>34</v>
      </c>
      <c r="F668" t="s">
        <v>47</v>
      </c>
      <c r="G668" t="s">
        <v>102</v>
      </c>
      <c r="H668">
        <v>13</v>
      </c>
      <c r="I668">
        <v>5120</v>
      </c>
      <c r="J668">
        <v>10</v>
      </c>
      <c r="K668">
        <v>59904</v>
      </c>
      <c r="L668" t="s">
        <v>36</v>
      </c>
      <c r="M668" s="2">
        <f>Table1[[#This Row],[Revenue_INR]]-Table1[[#This Row],[Price_INR]]</f>
        <v>54784</v>
      </c>
      <c r="N668">
        <f>YEAR(Table1[[#This Row],[Date]])</f>
        <v>2024</v>
      </c>
      <c r="O668" s="2">
        <f t="shared" si="40"/>
        <v>4608</v>
      </c>
      <c r="P668" s="7">
        <f t="shared" si="41"/>
        <v>91.452991452991455</v>
      </c>
      <c r="Q668" s="2">
        <f t="shared" si="42"/>
        <v>6656</v>
      </c>
      <c r="R668" s="5" t="str">
        <f t="shared" si="43"/>
        <v>Above Average</v>
      </c>
      <c r="S668" s="5" t="str">
        <f>Table1[[#This Row],[Quarter]]&amp;" - "&amp;Table1[[#This Row],[City]]</f>
        <v>Q3 - Delhi</v>
      </c>
    </row>
    <row r="669" spans="1:19" x14ac:dyDescent="0.3">
      <c r="A669" t="s">
        <v>737</v>
      </c>
      <c r="B669" s="1">
        <v>45542</v>
      </c>
      <c r="C669" t="s">
        <v>720</v>
      </c>
      <c r="D669" t="s">
        <v>547</v>
      </c>
      <c r="E669" t="s">
        <v>20</v>
      </c>
      <c r="F669" t="s">
        <v>21</v>
      </c>
      <c r="G669" t="s">
        <v>75</v>
      </c>
      <c r="H669">
        <v>10</v>
      </c>
      <c r="I669">
        <v>2740</v>
      </c>
      <c r="J669">
        <v>5</v>
      </c>
      <c r="K669">
        <v>26030</v>
      </c>
      <c r="L669" t="s">
        <v>23</v>
      </c>
      <c r="M669" s="2">
        <f>Table1[[#This Row],[Revenue_INR]]-Table1[[#This Row],[Price_INR]]</f>
        <v>23290</v>
      </c>
      <c r="N669">
        <f>YEAR(Table1[[#This Row],[Date]])</f>
        <v>2024</v>
      </c>
      <c r="O669" s="2">
        <f t="shared" si="40"/>
        <v>2603</v>
      </c>
      <c r="P669" s="7">
        <f t="shared" si="41"/>
        <v>89.473684210526315</v>
      </c>
      <c r="Q669" s="2">
        <f t="shared" si="42"/>
        <v>1370</v>
      </c>
      <c r="R669" s="5" t="str">
        <f t="shared" si="43"/>
        <v>Above Average</v>
      </c>
      <c r="S669" s="5" t="str">
        <f>Table1[[#This Row],[Quarter]]&amp;" - "&amp;Table1[[#This Row],[City]]</f>
        <v>Q3 - Mumbai</v>
      </c>
    </row>
    <row r="670" spans="1:19" x14ac:dyDescent="0.3">
      <c r="A670" t="s">
        <v>738</v>
      </c>
      <c r="B670" s="1">
        <v>45542</v>
      </c>
      <c r="C670" t="s">
        <v>720</v>
      </c>
      <c r="D670" t="s">
        <v>547</v>
      </c>
      <c r="E670" t="s">
        <v>15</v>
      </c>
      <c r="F670" t="s">
        <v>26</v>
      </c>
      <c r="G670" t="s">
        <v>82</v>
      </c>
      <c r="H670">
        <v>11</v>
      </c>
      <c r="I670">
        <v>11680</v>
      </c>
      <c r="J670">
        <v>0</v>
      </c>
      <c r="K670">
        <v>128480</v>
      </c>
      <c r="L670" t="s">
        <v>18</v>
      </c>
      <c r="M670" s="2">
        <f>Table1[[#This Row],[Revenue_INR]]-Table1[[#This Row],[Price_INR]]</f>
        <v>116800</v>
      </c>
      <c r="N670">
        <f>YEAR(Table1[[#This Row],[Date]])</f>
        <v>2024</v>
      </c>
      <c r="O670" s="2">
        <f t="shared" si="40"/>
        <v>11680</v>
      </c>
      <c r="P670" s="7">
        <f t="shared" si="41"/>
        <v>90.909090909090907</v>
      </c>
      <c r="Q670" s="2">
        <f t="shared" si="42"/>
        <v>0</v>
      </c>
      <c r="R670" s="5" t="str">
        <f t="shared" si="43"/>
        <v>Above Average</v>
      </c>
      <c r="S670" s="5" t="str">
        <f>Table1[[#This Row],[Quarter]]&amp;" - "&amp;Table1[[#This Row],[City]]</f>
        <v>Q3 - Kolkata</v>
      </c>
    </row>
    <row r="671" spans="1:19" x14ac:dyDescent="0.3">
      <c r="A671" t="s">
        <v>739</v>
      </c>
      <c r="B671" s="1">
        <v>45542</v>
      </c>
      <c r="C671" t="s">
        <v>720</v>
      </c>
      <c r="D671" t="s">
        <v>547</v>
      </c>
      <c r="E671" t="s">
        <v>15</v>
      </c>
      <c r="F671" t="s">
        <v>47</v>
      </c>
      <c r="G671" t="s">
        <v>102</v>
      </c>
      <c r="H671">
        <v>14</v>
      </c>
      <c r="I671">
        <v>4910</v>
      </c>
      <c r="J671">
        <v>15</v>
      </c>
      <c r="K671">
        <v>58429</v>
      </c>
      <c r="L671" t="s">
        <v>92</v>
      </c>
      <c r="M671" s="2">
        <f>Table1[[#This Row],[Revenue_INR]]-Table1[[#This Row],[Price_INR]]</f>
        <v>53519</v>
      </c>
      <c r="N671">
        <f>YEAR(Table1[[#This Row],[Date]])</f>
        <v>2024</v>
      </c>
      <c r="O671" s="2">
        <f t="shared" si="40"/>
        <v>4173.5</v>
      </c>
      <c r="P671" s="7">
        <f t="shared" si="41"/>
        <v>91.596638655462186</v>
      </c>
      <c r="Q671" s="2">
        <f t="shared" si="42"/>
        <v>10311</v>
      </c>
      <c r="R671" s="5" t="str">
        <f t="shared" si="43"/>
        <v>Above Average</v>
      </c>
      <c r="S671" s="5" t="str">
        <f>Table1[[#This Row],[Quarter]]&amp;" - "&amp;Table1[[#This Row],[City]]</f>
        <v>Q3 - Kolkata</v>
      </c>
    </row>
    <row r="672" spans="1:19" x14ac:dyDescent="0.3">
      <c r="A672" t="s">
        <v>740</v>
      </c>
      <c r="B672" s="1">
        <v>45542</v>
      </c>
      <c r="C672" t="s">
        <v>720</v>
      </c>
      <c r="D672" t="s">
        <v>547</v>
      </c>
      <c r="E672" t="s">
        <v>20</v>
      </c>
      <c r="F672" t="s">
        <v>26</v>
      </c>
      <c r="G672" t="s">
        <v>82</v>
      </c>
      <c r="H672">
        <v>12</v>
      </c>
      <c r="I672">
        <v>2480</v>
      </c>
      <c r="J672">
        <v>15</v>
      </c>
      <c r="K672">
        <v>25296</v>
      </c>
      <c r="L672" t="s">
        <v>77</v>
      </c>
      <c r="M672" s="2">
        <f>Table1[[#This Row],[Revenue_INR]]-Table1[[#This Row],[Price_INR]]</f>
        <v>22816</v>
      </c>
      <c r="N672">
        <f>YEAR(Table1[[#This Row],[Date]])</f>
        <v>2024</v>
      </c>
      <c r="O672" s="2">
        <f t="shared" si="40"/>
        <v>2108</v>
      </c>
      <c r="P672" s="7">
        <f t="shared" si="41"/>
        <v>90.196078431372555</v>
      </c>
      <c r="Q672" s="2">
        <f t="shared" si="42"/>
        <v>4464</v>
      </c>
      <c r="R672" s="5" t="str">
        <f t="shared" si="43"/>
        <v>Above Average</v>
      </c>
      <c r="S672" s="5" t="str">
        <f>Table1[[#This Row],[Quarter]]&amp;" - "&amp;Table1[[#This Row],[City]]</f>
        <v>Q3 - Mumbai</v>
      </c>
    </row>
    <row r="673" spans="1:19" x14ac:dyDescent="0.3">
      <c r="A673" t="s">
        <v>741</v>
      </c>
      <c r="B673" s="1">
        <v>45542</v>
      </c>
      <c r="C673" t="s">
        <v>720</v>
      </c>
      <c r="D673" t="s">
        <v>547</v>
      </c>
      <c r="E673" t="s">
        <v>25</v>
      </c>
      <c r="F673" t="s">
        <v>16</v>
      </c>
      <c r="G673" t="s">
        <v>17</v>
      </c>
      <c r="H673">
        <v>12</v>
      </c>
      <c r="I673">
        <v>760</v>
      </c>
      <c r="J673">
        <v>20</v>
      </c>
      <c r="K673">
        <v>7296</v>
      </c>
      <c r="L673" t="s">
        <v>42</v>
      </c>
      <c r="M673" s="2">
        <f>Table1[[#This Row],[Revenue_INR]]-Table1[[#This Row],[Price_INR]]</f>
        <v>6536</v>
      </c>
      <c r="N673">
        <f>YEAR(Table1[[#This Row],[Date]])</f>
        <v>2024</v>
      </c>
      <c r="O673" s="2">
        <f t="shared" si="40"/>
        <v>608</v>
      </c>
      <c r="P673" s="7">
        <f t="shared" si="41"/>
        <v>89.583333333333343</v>
      </c>
      <c r="Q673" s="2">
        <f t="shared" si="42"/>
        <v>1824</v>
      </c>
      <c r="R673" s="5" t="str">
        <f t="shared" si="43"/>
        <v>Below Average</v>
      </c>
      <c r="S673" s="5" t="str">
        <f>Table1[[#This Row],[Quarter]]&amp;" - "&amp;Table1[[#This Row],[City]]</f>
        <v>Q3 - Hyderabad</v>
      </c>
    </row>
    <row r="674" spans="1:19" x14ac:dyDescent="0.3">
      <c r="A674" t="s">
        <v>742</v>
      </c>
      <c r="B674" s="1">
        <v>45542</v>
      </c>
      <c r="C674" t="s">
        <v>720</v>
      </c>
      <c r="D674" t="s">
        <v>547</v>
      </c>
      <c r="E674" t="s">
        <v>20</v>
      </c>
      <c r="F674" t="s">
        <v>47</v>
      </c>
      <c r="G674" t="s">
        <v>102</v>
      </c>
      <c r="H674">
        <v>9</v>
      </c>
      <c r="I674">
        <v>5910</v>
      </c>
      <c r="J674">
        <v>25</v>
      </c>
      <c r="K674">
        <v>39892.5</v>
      </c>
      <c r="L674" t="s">
        <v>39</v>
      </c>
      <c r="M674" s="2">
        <f>Table1[[#This Row],[Revenue_INR]]-Table1[[#This Row],[Price_INR]]</f>
        <v>33982.5</v>
      </c>
      <c r="N674">
        <f>YEAR(Table1[[#This Row],[Date]])</f>
        <v>2024</v>
      </c>
      <c r="O674" s="2">
        <f t="shared" si="40"/>
        <v>4432.5</v>
      </c>
      <c r="P674" s="7">
        <f t="shared" si="41"/>
        <v>85.18518518518519</v>
      </c>
      <c r="Q674" s="2">
        <f t="shared" si="42"/>
        <v>13297.5</v>
      </c>
      <c r="R674" s="5" t="str">
        <f t="shared" si="43"/>
        <v>Above Average</v>
      </c>
      <c r="S674" s="5" t="str">
        <f>Table1[[#This Row],[Quarter]]&amp;" - "&amp;Table1[[#This Row],[City]]</f>
        <v>Q3 - Mumbai</v>
      </c>
    </row>
    <row r="675" spans="1:19" x14ac:dyDescent="0.3">
      <c r="A675" t="s">
        <v>743</v>
      </c>
      <c r="B675" s="1">
        <v>45543</v>
      </c>
      <c r="C675" t="s">
        <v>720</v>
      </c>
      <c r="D675" t="s">
        <v>547</v>
      </c>
      <c r="E675" t="s">
        <v>34</v>
      </c>
      <c r="F675" t="s">
        <v>31</v>
      </c>
      <c r="G675" t="s">
        <v>35</v>
      </c>
      <c r="H675">
        <v>11</v>
      </c>
      <c r="I675">
        <v>5830</v>
      </c>
      <c r="J675">
        <v>25</v>
      </c>
      <c r="K675">
        <v>48097.5</v>
      </c>
      <c r="L675" t="s">
        <v>49</v>
      </c>
      <c r="M675" s="2">
        <f>Table1[[#This Row],[Revenue_INR]]-Table1[[#This Row],[Price_INR]]</f>
        <v>42267.5</v>
      </c>
      <c r="N675">
        <f>YEAR(Table1[[#This Row],[Date]])</f>
        <v>2024</v>
      </c>
      <c r="O675" s="2">
        <f t="shared" si="40"/>
        <v>4372.5</v>
      </c>
      <c r="P675" s="7">
        <f t="shared" si="41"/>
        <v>87.878787878787875</v>
      </c>
      <c r="Q675" s="2">
        <f t="shared" si="42"/>
        <v>16032.5</v>
      </c>
      <c r="R675" s="5" t="str">
        <f t="shared" si="43"/>
        <v>Above Average</v>
      </c>
      <c r="S675" s="5" t="str">
        <f>Table1[[#This Row],[Quarter]]&amp;" - "&amp;Table1[[#This Row],[City]]</f>
        <v>Q3 - Delhi</v>
      </c>
    </row>
    <row r="676" spans="1:19" x14ac:dyDescent="0.3">
      <c r="A676" t="s">
        <v>744</v>
      </c>
      <c r="B676" s="1">
        <v>45543</v>
      </c>
      <c r="C676" t="s">
        <v>720</v>
      </c>
      <c r="D676" t="s">
        <v>547</v>
      </c>
      <c r="E676" t="s">
        <v>20</v>
      </c>
      <c r="F676" t="s">
        <v>47</v>
      </c>
      <c r="G676" t="s">
        <v>51</v>
      </c>
      <c r="H676">
        <v>3</v>
      </c>
      <c r="I676">
        <v>6270</v>
      </c>
      <c r="J676">
        <v>25</v>
      </c>
      <c r="K676">
        <v>14107.5</v>
      </c>
      <c r="L676" t="s">
        <v>39</v>
      </c>
      <c r="M676" s="2">
        <f>Table1[[#This Row],[Revenue_INR]]-Table1[[#This Row],[Price_INR]]</f>
        <v>7837.5</v>
      </c>
      <c r="N676">
        <f>YEAR(Table1[[#This Row],[Date]])</f>
        <v>2024</v>
      </c>
      <c r="O676" s="2">
        <f t="shared" si="40"/>
        <v>4702.5</v>
      </c>
      <c r="P676" s="7">
        <f t="shared" si="41"/>
        <v>55.555555555555557</v>
      </c>
      <c r="Q676" s="2">
        <f t="shared" si="42"/>
        <v>4702.5</v>
      </c>
      <c r="R676" s="5" t="str">
        <f t="shared" si="43"/>
        <v>Below Average</v>
      </c>
      <c r="S676" s="5" t="str">
        <f>Table1[[#This Row],[Quarter]]&amp;" - "&amp;Table1[[#This Row],[City]]</f>
        <v>Q3 - Mumbai</v>
      </c>
    </row>
    <row r="677" spans="1:19" x14ac:dyDescent="0.3">
      <c r="A677" t="s">
        <v>745</v>
      </c>
      <c r="B677" s="1">
        <v>45543</v>
      </c>
      <c r="C677" t="s">
        <v>720</v>
      </c>
      <c r="D677" t="s">
        <v>547</v>
      </c>
      <c r="E677" t="s">
        <v>25</v>
      </c>
      <c r="F677" t="s">
        <v>47</v>
      </c>
      <c r="G677" t="s">
        <v>48</v>
      </c>
      <c r="H677">
        <v>12</v>
      </c>
      <c r="I677">
        <v>4040</v>
      </c>
      <c r="J677">
        <v>25</v>
      </c>
      <c r="K677">
        <v>36360</v>
      </c>
      <c r="L677" t="s">
        <v>66</v>
      </c>
      <c r="M677" s="2">
        <f>Table1[[#This Row],[Revenue_INR]]-Table1[[#This Row],[Price_INR]]</f>
        <v>32320</v>
      </c>
      <c r="N677">
        <f>YEAR(Table1[[#This Row],[Date]])</f>
        <v>2024</v>
      </c>
      <c r="O677" s="2">
        <f t="shared" si="40"/>
        <v>3030</v>
      </c>
      <c r="P677" s="7">
        <f t="shared" si="41"/>
        <v>88.888888888888886</v>
      </c>
      <c r="Q677" s="2">
        <f t="shared" si="42"/>
        <v>12120</v>
      </c>
      <c r="R677" s="5" t="str">
        <f t="shared" si="43"/>
        <v>Above Average</v>
      </c>
      <c r="S677" s="5" t="str">
        <f>Table1[[#This Row],[Quarter]]&amp;" - "&amp;Table1[[#This Row],[City]]</f>
        <v>Q3 - Hyderabad</v>
      </c>
    </row>
    <row r="678" spans="1:19" x14ac:dyDescent="0.3">
      <c r="A678" t="s">
        <v>746</v>
      </c>
      <c r="B678" s="1">
        <v>45543</v>
      </c>
      <c r="C678" t="s">
        <v>720</v>
      </c>
      <c r="D678" t="s">
        <v>547</v>
      </c>
      <c r="E678" t="s">
        <v>15</v>
      </c>
      <c r="F678" t="s">
        <v>31</v>
      </c>
      <c r="G678" t="s">
        <v>32</v>
      </c>
      <c r="H678">
        <v>7</v>
      </c>
      <c r="I678">
        <v>5980</v>
      </c>
      <c r="J678">
        <v>25</v>
      </c>
      <c r="K678">
        <v>31395</v>
      </c>
      <c r="L678" t="s">
        <v>92</v>
      </c>
      <c r="M678" s="2">
        <f>Table1[[#This Row],[Revenue_INR]]-Table1[[#This Row],[Price_INR]]</f>
        <v>25415</v>
      </c>
      <c r="N678">
        <f>YEAR(Table1[[#This Row],[Date]])</f>
        <v>2024</v>
      </c>
      <c r="O678" s="2">
        <f t="shared" si="40"/>
        <v>4485</v>
      </c>
      <c r="P678" s="7">
        <f t="shared" si="41"/>
        <v>80.952380952380949</v>
      </c>
      <c r="Q678" s="2">
        <f t="shared" si="42"/>
        <v>10465</v>
      </c>
      <c r="R678" s="5" t="str">
        <f t="shared" si="43"/>
        <v>Above Average</v>
      </c>
      <c r="S678" s="5" t="str">
        <f>Table1[[#This Row],[Quarter]]&amp;" - "&amp;Table1[[#This Row],[City]]</f>
        <v>Q3 - Kolkata</v>
      </c>
    </row>
    <row r="679" spans="1:19" x14ac:dyDescent="0.3">
      <c r="A679" t="s">
        <v>747</v>
      </c>
      <c r="B679" s="1">
        <v>45543</v>
      </c>
      <c r="C679" t="s">
        <v>720</v>
      </c>
      <c r="D679" t="s">
        <v>547</v>
      </c>
      <c r="E679" t="s">
        <v>15</v>
      </c>
      <c r="F679" t="s">
        <v>31</v>
      </c>
      <c r="G679" t="s">
        <v>131</v>
      </c>
      <c r="H679">
        <v>13</v>
      </c>
      <c r="I679">
        <v>4170</v>
      </c>
      <c r="J679">
        <v>15</v>
      </c>
      <c r="K679">
        <v>46078.5</v>
      </c>
      <c r="L679" t="s">
        <v>92</v>
      </c>
      <c r="M679" s="2">
        <f>Table1[[#This Row],[Revenue_INR]]-Table1[[#This Row],[Price_INR]]</f>
        <v>41908.5</v>
      </c>
      <c r="N679">
        <f>YEAR(Table1[[#This Row],[Date]])</f>
        <v>2024</v>
      </c>
      <c r="O679" s="2">
        <f t="shared" si="40"/>
        <v>3544.5</v>
      </c>
      <c r="P679" s="7">
        <f t="shared" si="41"/>
        <v>90.950226244343895</v>
      </c>
      <c r="Q679" s="2">
        <f t="shared" si="42"/>
        <v>8131.5</v>
      </c>
      <c r="R679" s="5" t="str">
        <f t="shared" si="43"/>
        <v>Above Average</v>
      </c>
      <c r="S679" s="5" t="str">
        <f>Table1[[#This Row],[Quarter]]&amp;" - "&amp;Table1[[#This Row],[City]]</f>
        <v>Q3 - Kolkata</v>
      </c>
    </row>
    <row r="680" spans="1:19" x14ac:dyDescent="0.3">
      <c r="A680" t="s">
        <v>748</v>
      </c>
      <c r="B680" s="1">
        <v>45544</v>
      </c>
      <c r="C680" t="s">
        <v>720</v>
      </c>
      <c r="D680" t="s">
        <v>547</v>
      </c>
      <c r="E680" t="s">
        <v>15</v>
      </c>
      <c r="F680" t="s">
        <v>60</v>
      </c>
      <c r="G680" t="s">
        <v>85</v>
      </c>
      <c r="H680">
        <v>1</v>
      </c>
      <c r="I680">
        <v>690</v>
      </c>
      <c r="J680">
        <v>10</v>
      </c>
      <c r="K680">
        <v>621</v>
      </c>
      <c r="L680" t="s">
        <v>92</v>
      </c>
      <c r="M680" s="2">
        <f>Table1[[#This Row],[Revenue_INR]]-Table1[[#This Row],[Price_INR]]</f>
        <v>-69</v>
      </c>
      <c r="N680">
        <f>YEAR(Table1[[#This Row],[Date]])</f>
        <v>2024</v>
      </c>
      <c r="O680" s="2">
        <f t="shared" si="40"/>
        <v>621</v>
      </c>
      <c r="P680" s="7">
        <f t="shared" si="41"/>
        <v>-11.111111111111111</v>
      </c>
      <c r="Q680" s="2">
        <f t="shared" si="42"/>
        <v>69</v>
      </c>
      <c r="R680" s="5" t="str">
        <f t="shared" si="43"/>
        <v>Below Average</v>
      </c>
      <c r="S680" s="5" t="str">
        <f>Table1[[#This Row],[Quarter]]&amp;" - "&amp;Table1[[#This Row],[City]]</f>
        <v>Q3 - Kolkata</v>
      </c>
    </row>
    <row r="681" spans="1:19" x14ac:dyDescent="0.3">
      <c r="A681" t="s">
        <v>749</v>
      </c>
      <c r="B681" s="1">
        <v>45544</v>
      </c>
      <c r="C681" t="s">
        <v>720</v>
      </c>
      <c r="D681" t="s">
        <v>547</v>
      </c>
      <c r="E681" t="s">
        <v>34</v>
      </c>
      <c r="F681" t="s">
        <v>21</v>
      </c>
      <c r="G681" t="s">
        <v>71</v>
      </c>
      <c r="H681">
        <v>11</v>
      </c>
      <c r="I681">
        <v>2200</v>
      </c>
      <c r="J681">
        <v>15</v>
      </c>
      <c r="K681">
        <v>20570</v>
      </c>
      <c r="L681" t="s">
        <v>45</v>
      </c>
      <c r="M681" s="2">
        <f>Table1[[#This Row],[Revenue_INR]]-Table1[[#This Row],[Price_INR]]</f>
        <v>18370</v>
      </c>
      <c r="N681">
        <f>YEAR(Table1[[#This Row],[Date]])</f>
        <v>2024</v>
      </c>
      <c r="O681" s="2">
        <f t="shared" si="40"/>
        <v>1870</v>
      </c>
      <c r="P681" s="7">
        <f t="shared" si="41"/>
        <v>89.304812834224606</v>
      </c>
      <c r="Q681" s="2">
        <f t="shared" si="42"/>
        <v>3630</v>
      </c>
      <c r="R681" s="5" t="str">
        <f t="shared" si="43"/>
        <v>Below Average</v>
      </c>
      <c r="S681" s="5" t="str">
        <f>Table1[[#This Row],[Quarter]]&amp;" - "&amp;Table1[[#This Row],[City]]</f>
        <v>Q3 - Delhi</v>
      </c>
    </row>
    <row r="682" spans="1:19" x14ac:dyDescent="0.3">
      <c r="A682" t="s">
        <v>750</v>
      </c>
      <c r="B682" s="1">
        <v>45545</v>
      </c>
      <c r="C682" t="s">
        <v>720</v>
      </c>
      <c r="D682" t="s">
        <v>547</v>
      </c>
      <c r="E682" t="s">
        <v>25</v>
      </c>
      <c r="F682" t="s">
        <v>26</v>
      </c>
      <c r="G682" t="s">
        <v>27</v>
      </c>
      <c r="H682">
        <v>8</v>
      </c>
      <c r="I682">
        <v>3430</v>
      </c>
      <c r="J682">
        <v>20</v>
      </c>
      <c r="K682">
        <v>21952</v>
      </c>
      <c r="L682" t="s">
        <v>66</v>
      </c>
      <c r="M682" s="2">
        <f>Table1[[#This Row],[Revenue_INR]]-Table1[[#This Row],[Price_INR]]</f>
        <v>18522</v>
      </c>
      <c r="N682">
        <f>YEAR(Table1[[#This Row],[Date]])</f>
        <v>2024</v>
      </c>
      <c r="O682" s="2">
        <f t="shared" si="40"/>
        <v>2744</v>
      </c>
      <c r="P682" s="7">
        <f t="shared" si="41"/>
        <v>84.375</v>
      </c>
      <c r="Q682" s="2">
        <f t="shared" si="42"/>
        <v>5488</v>
      </c>
      <c r="R682" s="5" t="str">
        <f t="shared" si="43"/>
        <v>Below Average</v>
      </c>
      <c r="S682" s="5" t="str">
        <f>Table1[[#This Row],[Quarter]]&amp;" - "&amp;Table1[[#This Row],[City]]</f>
        <v>Q3 - Hyderabad</v>
      </c>
    </row>
    <row r="683" spans="1:19" x14ac:dyDescent="0.3">
      <c r="A683" t="s">
        <v>751</v>
      </c>
      <c r="B683" s="1">
        <v>45546</v>
      </c>
      <c r="C683" t="s">
        <v>720</v>
      </c>
      <c r="D683" t="s">
        <v>547</v>
      </c>
      <c r="E683" t="s">
        <v>34</v>
      </c>
      <c r="F683" t="s">
        <v>16</v>
      </c>
      <c r="G683" t="s">
        <v>41</v>
      </c>
      <c r="H683">
        <v>1</v>
      </c>
      <c r="I683">
        <v>1100</v>
      </c>
      <c r="J683">
        <v>20</v>
      </c>
      <c r="K683">
        <v>880</v>
      </c>
      <c r="L683" t="s">
        <v>45</v>
      </c>
      <c r="M683" s="2">
        <f>Table1[[#This Row],[Revenue_INR]]-Table1[[#This Row],[Price_INR]]</f>
        <v>-220</v>
      </c>
      <c r="N683">
        <f>YEAR(Table1[[#This Row],[Date]])</f>
        <v>2024</v>
      </c>
      <c r="O683" s="2">
        <f t="shared" si="40"/>
        <v>880</v>
      </c>
      <c r="P683" s="7">
        <f t="shared" si="41"/>
        <v>-25</v>
      </c>
      <c r="Q683" s="2">
        <f t="shared" si="42"/>
        <v>220</v>
      </c>
      <c r="R683" s="5" t="str">
        <f t="shared" si="43"/>
        <v>Below Average</v>
      </c>
      <c r="S683" s="5" t="str">
        <f>Table1[[#This Row],[Quarter]]&amp;" - "&amp;Table1[[#This Row],[City]]</f>
        <v>Q3 - Delhi</v>
      </c>
    </row>
    <row r="684" spans="1:19" x14ac:dyDescent="0.3">
      <c r="A684" t="s">
        <v>752</v>
      </c>
      <c r="B684" s="1">
        <v>45547</v>
      </c>
      <c r="C684" t="s">
        <v>720</v>
      </c>
      <c r="D684" t="s">
        <v>547</v>
      </c>
      <c r="E684" t="s">
        <v>34</v>
      </c>
      <c r="F684" t="s">
        <v>21</v>
      </c>
      <c r="G684" t="s">
        <v>22</v>
      </c>
      <c r="H684">
        <v>9</v>
      </c>
      <c r="I684">
        <v>2140</v>
      </c>
      <c r="J684">
        <v>15</v>
      </c>
      <c r="K684">
        <v>16371</v>
      </c>
      <c r="L684" t="s">
        <v>49</v>
      </c>
      <c r="M684" s="2">
        <f>Table1[[#This Row],[Revenue_INR]]-Table1[[#This Row],[Price_INR]]</f>
        <v>14231</v>
      </c>
      <c r="N684">
        <f>YEAR(Table1[[#This Row],[Date]])</f>
        <v>2024</v>
      </c>
      <c r="O684" s="2">
        <f t="shared" si="40"/>
        <v>1819</v>
      </c>
      <c r="P684" s="7">
        <f t="shared" si="41"/>
        <v>86.928104575163403</v>
      </c>
      <c r="Q684" s="2">
        <f t="shared" si="42"/>
        <v>2889</v>
      </c>
      <c r="R684" s="5" t="str">
        <f t="shared" si="43"/>
        <v>Below Average</v>
      </c>
      <c r="S684" s="5" t="str">
        <f>Table1[[#This Row],[Quarter]]&amp;" - "&amp;Table1[[#This Row],[City]]</f>
        <v>Q3 - Delhi</v>
      </c>
    </row>
    <row r="685" spans="1:19" x14ac:dyDescent="0.3">
      <c r="A685" t="s">
        <v>753</v>
      </c>
      <c r="B685" s="1">
        <v>45547</v>
      </c>
      <c r="C685" t="s">
        <v>720</v>
      </c>
      <c r="D685" t="s">
        <v>547</v>
      </c>
      <c r="E685" t="s">
        <v>20</v>
      </c>
      <c r="F685" t="s">
        <v>47</v>
      </c>
      <c r="G685" t="s">
        <v>102</v>
      </c>
      <c r="H685">
        <v>9</v>
      </c>
      <c r="I685">
        <v>6610</v>
      </c>
      <c r="J685">
        <v>5</v>
      </c>
      <c r="K685">
        <v>56515.5</v>
      </c>
      <c r="L685" t="s">
        <v>39</v>
      </c>
      <c r="M685" s="2">
        <f>Table1[[#This Row],[Revenue_INR]]-Table1[[#This Row],[Price_INR]]</f>
        <v>49905.5</v>
      </c>
      <c r="N685">
        <f>YEAR(Table1[[#This Row],[Date]])</f>
        <v>2024</v>
      </c>
      <c r="O685" s="2">
        <f t="shared" si="40"/>
        <v>6279.5</v>
      </c>
      <c r="P685" s="7">
        <f t="shared" si="41"/>
        <v>88.304093567251456</v>
      </c>
      <c r="Q685" s="2">
        <f t="shared" si="42"/>
        <v>2974.5</v>
      </c>
      <c r="R685" s="5" t="str">
        <f t="shared" si="43"/>
        <v>Above Average</v>
      </c>
      <c r="S685" s="5" t="str">
        <f>Table1[[#This Row],[Quarter]]&amp;" - "&amp;Table1[[#This Row],[City]]</f>
        <v>Q3 - Mumbai</v>
      </c>
    </row>
    <row r="686" spans="1:19" x14ac:dyDescent="0.3">
      <c r="A686" t="s">
        <v>754</v>
      </c>
      <c r="B686" s="1">
        <v>45547</v>
      </c>
      <c r="C686" t="s">
        <v>720</v>
      </c>
      <c r="D686" t="s">
        <v>547</v>
      </c>
      <c r="E686" t="s">
        <v>25</v>
      </c>
      <c r="F686" t="s">
        <v>60</v>
      </c>
      <c r="G686" t="s">
        <v>124</v>
      </c>
      <c r="H686">
        <v>7</v>
      </c>
      <c r="I686">
        <v>1010</v>
      </c>
      <c r="J686">
        <v>10</v>
      </c>
      <c r="K686">
        <v>6363</v>
      </c>
      <c r="L686" t="s">
        <v>28</v>
      </c>
      <c r="M686" s="2">
        <f>Table1[[#This Row],[Revenue_INR]]-Table1[[#This Row],[Price_INR]]</f>
        <v>5353</v>
      </c>
      <c r="N686">
        <f>YEAR(Table1[[#This Row],[Date]])</f>
        <v>2024</v>
      </c>
      <c r="O686" s="2">
        <f t="shared" si="40"/>
        <v>909</v>
      </c>
      <c r="P686" s="7">
        <f t="shared" si="41"/>
        <v>84.126984126984127</v>
      </c>
      <c r="Q686" s="2">
        <f t="shared" si="42"/>
        <v>707</v>
      </c>
      <c r="R686" s="5" t="str">
        <f t="shared" si="43"/>
        <v>Below Average</v>
      </c>
      <c r="S686" s="5" t="str">
        <f>Table1[[#This Row],[Quarter]]&amp;" - "&amp;Table1[[#This Row],[City]]</f>
        <v>Q3 - Hyderabad</v>
      </c>
    </row>
    <row r="687" spans="1:19" x14ac:dyDescent="0.3">
      <c r="A687" t="s">
        <v>755</v>
      </c>
      <c r="B687" s="1">
        <v>45547</v>
      </c>
      <c r="C687" t="s">
        <v>720</v>
      </c>
      <c r="D687" t="s">
        <v>547</v>
      </c>
      <c r="E687" t="s">
        <v>20</v>
      </c>
      <c r="F687" t="s">
        <v>26</v>
      </c>
      <c r="G687" t="s">
        <v>27</v>
      </c>
      <c r="H687">
        <v>8</v>
      </c>
      <c r="I687">
        <v>1640</v>
      </c>
      <c r="J687">
        <v>30</v>
      </c>
      <c r="K687">
        <v>9184</v>
      </c>
      <c r="L687" t="s">
        <v>77</v>
      </c>
      <c r="M687" s="2">
        <f>Table1[[#This Row],[Revenue_INR]]-Table1[[#This Row],[Price_INR]]</f>
        <v>7544</v>
      </c>
      <c r="N687">
        <f>YEAR(Table1[[#This Row],[Date]])</f>
        <v>2024</v>
      </c>
      <c r="O687" s="2">
        <f t="shared" si="40"/>
        <v>1148</v>
      </c>
      <c r="P687" s="7">
        <f t="shared" si="41"/>
        <v>82.142857142857139</v>
      </c>
      <c r="Q687" s="2">
        <f t="shared" si="42"/>
        <v>3936</v>
      </c>
      <c r="R687" s="5" t="str">
        <f t="shared" si="43"/>
        <v>Below Average</v>
      </c>
      <c r="S687" s="5" t="str">
        <f>Table1[[#This Row],[Quarter]]&amp;" - "&amp;Table1[[#This Row],[City]]</f>
        <v>Q3 - Mumbai</v>
      </c>
    </row>
    <row r="688" spans="1:19" x14ac:dyDescent="0.3">
      <c r="A688" t="s">
        <v>756</v>
      </c>
      <c r="B688" s="1">
        <v>45547</v>
      </c>
      <c r="C688" t="s">
        <v>720</v>
      </c>
      <c r="D688" t="s">
        <v>547</v>
      </c>
      <c r="E688" t="s">
        <v>34</v>
      </c>
      <c r="F688" t="s">
        <v>21</v>
      </c>
      <c r="G688" t="s">
        <v>22</v>
      </c>
      <c r="H688">
        <v>1</v>
      </c>
      <c r="I688">
        <v>1950</v>
      </c>
      <c r="J688">
        <v>20</v>
      </c>
      <c r="K688">
        <v>1560</v>
      </c>
      <c r="L688" t="s">
        <v>36</v>
      </c>
      <c r="M688" s="2">
        <f>Table1[[#This Row],[Revenue_INR]]-Table1[[#This Row],[Price_INR]]</f>
        <v>-390</v>
      </c>
      <c r="N688">
        <f>YEAR(Table1[[#This Row],[Date]])</f>
        <v>2024</v>
      </c>
      <c r="O688" s="2">
        <f t="shared" si="40"/>
        <v>1560</v>
      </c>
      <c r="P688" s="7">
        <f t="shared" si="41"/>
        <v>-25</v>
      </c>
      <c r="Q688" s="2">
        <f t="shared" si="42"/>
        <v>390</v>
      </c>
      <c r="R688" s="5" t="str">
        <f t="shared" si="43"/>
        <v>Below Average</v>
      </c>
      <c r="S688" s="5" t="str">
        <f>Table1[[#This Row],[Quarter]]&amp;" - "&amp;Table1[[#This Row],[City]]</f>
        <v>Q3 - Delhi</v>
      </c>
    </row>
    <row r="689" spans="1:19" x14ac:dyDescent="0.3">
      <c r="A689" t="s">
        <v>757</v>
      </c>
      <c r="B689" s="1">
        <v>45548</v>
      </c>
      <c r="C689" t="s">
        <v>720</v>
      </c>
      <c r="D689" t="s">
        <v>547</v>
      </c>
      <c r="E689" t="s">
        <v>34</v>
      </c>
      <c r="F689" t="s">
        <v>16</v>
      </c>
      <c r="G689" t="s">
        <v>17</v>
      </c>
      <c r="H689">
        <v>5</v>
      </c>
      <c r="I689">
        <v>1260</v>
      </c>
      <c r="J689">
        <v>5</v>
      </c>
      <c r="K689">
        <v>5985</v>
      </c>
      <c r="L689" t="s">
        <v>49</v>
      </c>
      <c r="M689" s="2">
        <f>Table1[[#This Row],[Revenue_INR]]-Table1[[#This Row],[Price_INR]]</f>
        <v>4725</v>
      </c>
      <c r="N689">
        <f>YEAR(Table1[[#This Row],[Date]])</f>
        <v>2024</v>
      </c>
      <c r="O689" s="2">
        <f t="shared" si="40"/>
        <v>1197</v>
      </c>
      <c r="P689" s="7">
        <f t="shared" si="41"/>
        <v>78.94736842105263</v>
      </c>
      <c r="Q689" s="2">
        <f t="shared" si="42"/>
        <v>315</v>
      </c>
      <c r="R689" s="5" t="str">
        <f t="shared" si="43"/>
        <v>Below Average</v>
      </c>
      <c r="S689" s="5" t="str">
        <f>Table1[[#This Row],[Quarter]]&amp;" - "&amp;Table1[[#This Row],[City]]</f>
        <v>Q3 - Delhi</v>
      </c>
    </row>
    <row r="690" spans="1:19" x14ac:dyDescent="0.3">
      <c r="A690" t="s">
        <v>758</v>
      </c>
      <c r="B690" s="1">
        <v>45548</v>
      </c>
      <c r="C690" t="s">
        <v>720</v>
      </c>
      <c r="D690" t="s">
        <v>547</v>
      </c>
      <c r="E690" t="s">
        <v>20</v>
      </c>
      <c r="F690" t="s">
        <v>60</v>
      </c>
      <c r="G690" t="s">
        <v>124</v>
      </c>
      <c r="H690">
        <v>11</v>
      </c>
      <c r="I690">
        <v>1560</v>
      </c>
      <c r="J690">
        <v>25</v>
      </c>
      <c r="K690">
        <v>12870</v>
      </c>
      <c r="L690" t="s">
        <v>23</v>
      </c>
      <c r="M690" s="2">
        <f>Table1[[#This Row],[Revenue_INR]]-Table1[[#This Row],[Price_INR]]</f>
        <v>11310</v>
      </c>
      <c r="N690">
        <f>YEAR(Table1[[#This Row],[Date]])</f>
        <v>2024</v>
      </c>
      <c r="O690" s="2">
        <f t="shared" si="40"/>
        <v>1170</v>
      </c>
      <c r="P690" s="7">
        <f t="shared" si="41"/>
        <v>87.878787878787875</v>
      </c>
      <c r="Q690" s="2">
        <f t="shared" si="42"/>
        <v>4290</v>
      </c>
      <c r="R690" s="5" t="str">
        <f t="shared" si="43"/>
        <v>Below Average</v>
      </c>
      <c r="S690" s="5" t="str">
        <f>Table1[[#This Row],[Quarter]]&amp;" - "&amp;Table1[[#This Row],[City]]</f>
        <v>Q3 - Mumbai</v>
      </c>
    </row>
    <row r="691" spans="1:19" x14ac:dyDescent="0.3">
      <c r="A691" t="s">
        <v>759</v>
      </c>
      <c r="B691" s="1">
        <v>45549</v>
      </c>
      <c r="C691" t="s">
        <v>720</v>
      </c>
      <c r="D691" t="s">
        <v>547</v>
      </c>
      <c r="E691" t="s">
        <v>25</v>
      </c>
      <c r="F691" t="s">
        <v>16</v>
      </c>
      <c r="G691" t="s">
        <v>44</v>
      </c>
      <c r="H691">
        <v>15</v>
      </c>
      <c r="I691">
        <v>1160</v>
      </c>
      <c r="J691">
        <v>10</v>
      </c>
      <c r="K691">
        <v>15660</v>
      </c>
      <c r="L691" t="s">
        <v>66</v>
      </c>
      <c r="M691" s="2">
        <f>Table1[[#This Row],[Revenue_INR]]-Table1[[#This Row],[Price_INR]]</f>
        <v>14500</v>
      </c>
      <c r="N691">
        <f>YEAR(Table1[[#This Row],[Date]])</f>
        <v>2024</v>
      </c>
      <c r="O691" s="2">
        <f t="shared" si="40"/>
        <v>1044</v>
      </c>
      <c r="P691" s="7">
        <f t="shared" si="41"/>
        <v>92.592592592592595</v>
      </c>
      <c r="Q691" s="2">
        <f t="shared" si="42"/>
        <v>1740</v>
      </c>
      <c r="R691" s="5" t="str">
        <f t="shared" si="43"/>
        <v>Below Average</v>
      </c>
      <c r="S691" s="5" t="str">
        <f>Table1[[#This Row],[Quarter]]&amp;" - "&amp;Table1[[#This Row],[City]]</f>
        <v>Q3 - Hyderabad</v>
      </c>
    </row>
    <row r="692" spans="1:19" x14ac:dyDescent="0.3">
      <c r="A692" t="s">
        <v>760</v>
      </c>
      <c r="B692" s="1">
        <v>45549</v>
      </c>
      <c r="C692" t="s">
        <v>720</v>
      </c>
      <c r="D692" t="s">
        <v>547</v>
      </c>
      <c r="E692" t="s">
        <v>20</v>
      </c>
      <c r="F692" t="s">
        <v>16</v>
      </c>
      <c r="G692" t="s">
        <v>17</v>
      </c>
      <c r="H692">
        <v>10</v>
      </c>
      <c r="I692">
        <v>450</v>
      </c>
      <c r="J692">
        <v>15</v>
      </c>
      <c r="K692">
        <v>3825</v>
      </c>
      <c r="L692" t="s">
        <v>77</v>
      </c>
      <c r="M692" s="2">
        <f>Table1[[#This Row],[Revenue_INR]]-Table1[[#This Row],[Price_INR]]</f>
        <v>3375</v>
      </c>
      <c r="N692">
        <f>YEAR(Table1[[#This Row],[Date]])</f>
        <v>2024</v>
      </c>
      <c r="O692" s="2">
        <f t="shared" si="40"/>
        <v>382.5</v>
      </c>
      <c r="P692" s="7">
        <f t="shared" si="41"/>
        <v>88.235294117647058</v>
      </c>
      <c r="Q692" s="2">
        <f t="shared" si="42"/>
        <v>675</v>
      </c>
      <c r="R692" s="5" t="str">
        <f t="shared" si="43"/>
        <v>Below Average</v>
      </c>
      <c r="S692" s="5" t="str">
        <f>Table1[[#This Row],[Quarter]]&amp;" - "&amp;Table1[[#This Row],[City]]</f>
        <v>Q3 - Mumbai</v>
      </c>
    </row>
    <row r="693" spans="1:19" x14ac:dyDescent="0.3">
      <c r="A693" t="s">
        <v>761</v>
      </c>
      <c r="B693" s="1">
        <v>45549</v>
      </c>
      <c r="C693" t="s">
        <v>720</v>
      </c>
      <c r="D693" t="s">
        <v>547</v>
      </c>
      <c r="E693" t="s">
        <v>20</v>
      </c>
      <c r="F693" t="s">
        <v>26</v>
      </c>
      <c r="G693" t="s">
        <v>27</v>
      </c>
      <c r="H693">
        <v>5</v>
      </c>
      <c r="I693">
        <v>7660</v>
      </c>
      <c r="J693">
        <v>0</v>
      </c>
      <c r="K693">
        <v>38300</v>
      </c>
      <c r="L693" t="s">
        <v>77</v>
      </c>
      <c r="M693" s="2">
        <f>Table1[[#This Row],[Revenue_INR]]-Table1[[#This Row],[Price_INR]]</f>
        <v>30640</v>
      </c>
      <c r="N693">
        <f>YEAR(Table1[[#This Row],[Date]])</f>
        <v>2024</v>
      </c>
      <c r="O693" s="2">
        <f t="shared" si="40"/>
        <v>7660</v>
      </c>
      <c r="P693" s="7">
        <f t="shared" si="41"/>
        <v>80</v>
      </c>
      <c r="Q693" s="2">
        <f t="shared" si="42"/>
        <v>0</v>
      </c>
      <c r="R693" s="5" t="str">
        <f t="shared" si="43"/>
        <v>Above Average</v>
      </c>
      <c r="S693" s="5" t="str">
        <f>Table1[[#This Row],[Quarter]]&amp;" - "&amp;Table1[[#This Row],[City]]</f>
        <v>Q3 - Mumbai</v>
      </c>
    </row>
    <row r="694" spans="1:19" x14ac:dyDescent="0.3">
      <c r="A694" t="s">
        <v>762</v>
      </c>
      <c r="B694" s="1">
        <v>45550</v>
      </c>
      <c r="C694" t="s">
        <v>720</v>
      </c>
      <c r="D694" t="s">
        <v>547</v>
      </c>
      <c r="E694" t="s">
        <v>25</v>
      </c>
      <c r="F694" t="s">
        <v>26</v>
      </c>
      <c r="G694" t="s">
        <v>80</v>
      </c>
      <c r="H694">
        <v>15</v>
      </c>
      <c r="I694">
        <v>1630</v>
      </c>
      <c r="J694">
        <v>5</v>
      </c>
      <c r="K694">
        <v>23227.5</v>
      </c>
      <c r="L694" t="s">
        <v>28</v>
      </c>
      <c r="M694" s="2">
        <f>Table1[[#This Row],[Revenue_INR]]-Table1[[#This Row],[Price_INR]]</f>
        <v>21597.5</v>
      </c>
      <c r="N694">
        <f>YEAR(Table1[[#This Row],[Date]])</f>
        <v>2024</v>
      </c>
      <c r="O694" s="2">
        <f t="shared" si="40"/>
        <v>1548.5</v>
      </c>
      <c r="P694" s="7">
        <f t="shared" si="41"/>
        <v>92.982456140350877</v>
      </c>
      <c r="Q694" s="2">
        <f t="shared" si="42"/>
        <v>1222.5</v>
      </c>
      <c r="R694" s="5" t="str">
        <f t="shared" si="43"/>
        <v>Below Average</v>
      </c>
      <c r="S694" s="5" t="str">
        <f>Table1[[#This Row],[Quarter]]&amp;" - "&amp;Table1[[#This Row],[City]]</f>
        <v>Q3 - Hyderabad</v>
      </c>
    </row>
    <row r="695" spans="1:19" x14ac:dyDescent="0.3">
      <c r="A695" t="s">
        <v>763</v>
      </c>
      <c r="B695" s="1">
        <v>45550</v>
      </c>
      <c r="C695" t="s">
        <v>720</v>
      </c>
      <c r="D695" t="s">
        <v>547</v>
      </c>
      <c r="E695" t="s">
        <v>15</v>
      </c>
      <c r="F695" t="s">
        <v>47</v>
      </c>
      <c r="G695" t="s">
        <v>51</v>
      </c>
      <c r="H695">
        <v>4</v>
      </c>
      <c r="I695">
        <v>2760</v>
      </c>
      <c r="J695">
        <v>20</v>
      </c>
      <c r="K695">
        <v>8832</v>
      </c>
      <c r="L695" t="s">
        <v>18</v>
      </c>
      <c r="M695" s="2">
        <f>Table1[[#This Row],[Revenue_INR]]-Table1[[#This Row],[Price_INR]]</f>
        <v>6072</v>
      </c>
      <c r="N695">
        <f>YEAR(Table1[[#This Row],[Date]])</f>
        <v>2024</v>
      </c>
      <c r="O695" s="2">
        <f t="shared" si="40"/>
        <v>2208</v>
      </c>
      <c r="P695" s="7">
        <f t="shared" si="41"/>
        <v>68.75</v>
      </c>
      <c r="Q695" s="2">
        <f t="shared" si="42"/>
        <v>2208</v>
      </c>
      <c r="R695" s="5" t="str">
        <f t="shared" si="43"/>
        <v>Below Average</v>
      </c>
      <c r="S695" s="5" t="str">
        <f>Table1[[#This Row],[Quarter]]&amp;" - "&amp;Table1[[#This Row],[City]]</f>
        <v>Q3 - Kolkata</v>
      </c>
    </row>
    <row r="696" spans="1:19" x14ac:dyDescent="0.3">
      <c r="A696" t="s">
        <v>764</v>
      </c>
      <c r="B696" s="1">
        <v>45550</v>
      </c>
      <c r="C696" t="s">
        <v>720</v>
      </c>
      <c r="D696" t="s">
        <v>547</v>
      </c>
      <c r="E696" t="s">
        <v>34</v>
      </c>
      <c r="F696" t="s">
        <v>16</v>
      </c>
      <c r="G696" t="s">
        <v>44</v>
      </c>
      <c r="H696">
        <v>14</v>
      </c>
      <c r="I696">
        <v>1040</v>
      </c>
      <c r="J696">
        <v>15</v>
      </c>
      <c r="K696">
        <v>12376</v>
      </c>
      <c r="L696" t="s">
        <v>49</v>
      </c>
      <c r="M696" s="2">
        <f>Table1[[#This Row],[Revenue_INR]]-Table1[[#This Row],[Price_INR]]</f>
        <v>11336</v>
      </c>
      <c r="N696">
        <f>YEAR(Table1[[#This Row],[Date]])</f>
        <v>2024</v>
      </c>
      <c r="O696" s="2">
        <f t="shared" si="40"/>
        <v>884</v>
      </c>
      <c r="P696" s="7">
        <f t="shared" si="41"/>
        <v>91.596638655462186</v>
      </c>
      <c r="Q696" s="2">
        <f t="shared" si="42"/>
        <v>2184</v>
      </c>
      <c r="R696" s="5" t="str">
        <f t="shared" si="43"/>
        <v>Below Average</v>
      </c>
      <c r="S696" s="5" t="str">
        <f>Table1[[#This Row],[Quarter]]&amp;" - "&amp;Table1[[#This Row],[City]]</f>
        <v>Q3 - Delhi</v>
      </c>
    </row>
    <row r="697" spans="1:19" x14ac:dyDescent="0.3">
      <c r="A697" t="s">
        <v>765</v>
      </c>
      <c r="B697" s="1">
        <v>45551</v>
      </c>
      <c r="C697" t="s">
        <v>720</v>
      </c>
      <c r="D697" t="s">
        <v>547</v>
      </c>
      <c r="E697" t="s">
        <v>25</v>
      </c>
      <c r="F697" t="s">
        <v>31</v>
      </c>
      <c r="G697" t="s">
        <v>131</v>
      </c>
      <c r="H697">
        <v>15</v>
      </c>
      <c r="I697">
        <v>4640</v>
      </c>
      <c r="J697">
        <v>0</v>
      </c>
      <c r="K697">
        <v>69600</v>
      </c>
      <c r="L697" t="s">
        <v>66</v>
      </c>
      <c r="M697" s="2">
        <f>Table1[[#This Row],[Revenue_INR]]-Table1[[#This Row],[Price_INR]]</f>
        <v>64960</v>
      </c>
      <c r="N697">
        <f>YEAR(Table1[[#This Row],[Date]])</f>
        <v>2024</v>
      </c>
      <c r="O697" s="2">
        <f t="shared" si="40"/>
        <v>4640</v>
      </c>
      <c r="P697" s="7">
        <f t="shared" si="41"/>
        <v>93.333333333333329</v>
      </c>
      <c r="Q697" s="2">
        <f t="shared" si="42"/>
        <v>0</v>
      </c>
      <c r="R697" s="5" t="str">
        <f t="shared" si="43"/>
        <v>Above Average</v>
      </c>
      <c r="S697" s="5" t="str">
        <f>Table1[[#This Row],[Quarter]]&amp;" - "&amp;Table1[[#This Row],[City]]</f>
        <v>Q3 - Hyderabad</v>
      </c>
    </row>
    <row r="698" spans="1:19" x14ac:dyDescent="0.3">
      <c r="A698" t="s">
        <v>766</v>
      </c>
      <c r="B698" s="1">
        <v>45551</v>
      </c>
      <c r="C698" t="s">
        <v>720</v>
      </c>
      <c r="D698" t="s">
        <v>547</v>
      </c>
      <c r="E698" t="s">
        <v>20</v>
      </c>
      <c r="F698" t="s">
        <v>26</v>
      </c>
      <c r="G698" t="s">
        <v>27</v>
      </c>
      <c r="H698">
        <v>9</v>
      </c>
      <c r="I698">
        <v>2280</v>
      </c>
      <c r="J698">
        <v>20</v>
      </c>
      <c r="K698">
        <v>16416</v>
      </c>
      <c r="L698" t="s">
        <v>77</v>
      </c>
      <c r="M698" s="2">
        <f>Table1[[#This Row],[Revenue_INR]]-Table1[[#This Row],[Price_INR]]</f>
        <v>14136</v>
      </c>
      <c r="N698">
        <f>YEAR(Table1[[#This Row],[Date]])</f>
        <v>2024</v>
      </c>
      <c r="O698" s="2">
        <f t="shared" si="40"/>
        <v>1824</v>
      </c>
      <c r="P698" s="7">
        <f t="shared" si="41"/>
        <v>86.111111111111114</v>
      </c>
      <c r="Q698" s="2">
        <f t="shared" si="42"/>
        <v>4104</v>
      </c>
      <c r="R698" s="5" t="str">
        <f t="shared" si="43"/>
        <v>Below Average</v>
      </c>
      <c r="S698" s="5" t="str">
        <f>Table1[[#This Row],[Quarter]]&amp;" - "&amp;Table1[[#This Row],[City]]</f>
        <v>Q3 - Mumbai</v>
      </c>
    </row>
    <row r="699" spans="1:19" x14ac:dyDescent="0.3">
      <c r="A699" t="s">
        <v>767</v>
      </c>
      <c r="B699" s="1">
        <v>45552</v>
      </c>
      <c r="C699" t="s">
        <v>720</v>
      </c>
      <c r="D699" t="s">
        <v>547</v>
      </c>
      <c r="E699" t="s">
        <v>20</v>
      </c>
      <c r="F699" t="s">
        <v>16</v>
      </c>
      <c r="G699" t="s">
        <v>44</v>
      </c>
      <c r="H699">
        <v>12</v>
      </c>
      <c r="I699">
        <v>1640</v>
      </c>
      <c r="J699">
        <v>10</v>
      </c>
      <c r="K699">
        <v>17712</v>
      </c>
      <c r="L699" t="s">
        <v>77</v>
      </c>
      <c r="M699" s="2">
        <f>Table1[[#This Row],[Revenue_INR]]-Table1[[#This Row],[Price_INR]]</f>
        <v>16072</v>
      </c>
      <c r="N699">
        <f>YEAR(Table1[[#This Row],[Date]])</f>
        <v>2024</v>
      </c>
      <c r="O699" s="2">
        <f t="shared" si="40"/>
        <v>1476</v>
      </c>
      <c r="P699" s="7">
        <f t="shared" si="41"/>
        <v>90.740740740740748</v>
      </c>
      <c r="Q699" s="2">
        <f t="shared" si="42"/>
        <v>1968</v>
      </c>
      <c r="R699" s="5" t="str">
        <f t="shared" si="43"/>
        <v>Below Average</v>
      </c>
      <c r="S699" s="5" t="str">
        <f>Table1[[#This Row],[Quarter]]&amp;" - "&amp;Table1[[#This Row],[City]]</f>
        <v>Q3 - Mumbai</v>
      </c>
    </row>
    <row r="700" spans="1:19" x14ac:dyDescent="0.3">
      <c r="A700" t="s">
        <v>768</v>
      </c>
      <c r="B700" s="1">
        <v>45553</v>
      </c>
      <c r="C700" t="s">
        <v>720</v>
      </c>
      <c r="D700" t="s">
        <v>547</v>
      </c>
      <c r="E700" t="s">
        <v>15</v>
      </c>
      <c r="F700" t="s">
        <v>60</v>
      </c>
      <c r="G700" t="s">
        <v>85</v>
      </c>
      <c r="H700">
        <v>8</v>
      </c>
      <c r="I700">
        <v>1960</v>
      </c>
      <c r="J700">
        <v>0</v>
      </c>
      <c r="K700">
        <v>15680</v>
      </c>
      <c r="L700" t="s">
        <v>53</v>
      </c>
      <c r="M700" s="2">
        <f>Table1[[#This Row],[Revenue_INR]]-Table1[[#This Row],[Price_INR]]</f>
        <v>13720</v>
      </c>
      <c r="N700">
        <f>YEAR(Table1[[#This Row],[Date]])</f>
        <v>2024</v>
      </c>
      <c r="O700" s="2">
        <f t="shared" si="40"/>
        <v>1960</v>
      </c>
      <c r="P700" s="7">
        <f t="shared" si="41"/>
        <v>87.5</v>
      </c>
      <c r="Q700" s="2">
        <f t="shared" si="42"/>
        <v>0</v>
      </c>
      <c r="R700" s="5" t="str">
        <f t="shared" si="43"/>
        <v>Below Average</v>
      </c>
      <c r="S700" s="5" t="str">
        <f>Table1[[#This Row],[Quarter]]&amp;" - "&amp;Table1[[#This Row],[City]]</f>
        <v>Q3 - Kolkata</v>
      </c>
    </row>
    <row r="701" spans="1:19" x14ac:dyDescent="0.3">
      <c r="A701" t="s">
        <v>769</v>
      </c>
      <c r="B701" s="1">
        <v>45553</v>
      </c>
      <c r="C701" t="s">
        <v>720</v>
      </c>
      <c r="D701" t="s">
        <v>547</v>
      </c>
      <c r="E701" t="s">
        <v>34</v>
      </c>
      <c r="F701" t="s">
        <v>47</v>
      </c>
      <c r="G701" t="s">
        <v>55</v>
      </c>
      <c r="H701">
        <v>5</v>
      </c>
      <c r="I701">
        <v>2070</v>
      </c>
      <c r="J701">
        <v>5</v>
      </c>
      <c r="K701">
        <v>9832.5</v>
      </c>
      <c r="L701" t="s">
        <v>36</v>
      </c>
      <c r="M701" s="2">
        <f>Table1[[#This Row],[Revenue_INR]]-Table1[[#This Row],[Price_INR]]</f>
        <v>7762.5</v>
      </c>
      <c r="N701">
        <f>YEAR(Table1[[#This Row],[Date]])</f>
        <v>2024</v>
      </c>
      <c r="O701" s="2">
        <f t="shared" si="40"/>
        <v>1966.5</v>
      </c>
      <c r="P701" s="7">
        <f t="shared" si="41"/>
        <v>78.94736842105263</v>
      </c>
      <c r="Q701" s="2">
        <f t="shared" si="42"/>
        <v>517.5</v>
      </c>
      <c r="R701" s="5" t="str">
        <f t="shared" si="43"/>
        <v>Below Average</v>
      </c>
      <c r="S701" s="5" t="str">
        <f>Table1[[#This Row],[Quarter]]&amp;" - "&amp;Table1[[#This Row],[City]]</f>
        <v>Q3 - Delhi</v>
      </c>
    </row>
    <row r="702" spans="1:19" x14ac:dyDescent="0.3">
      <c r="A702" t="s">
        <v>770</v>
      </c>
      <c r="B702" s="1">
        <v>45554</v>
      </c>
      <c r="C702" t="s">
        <v>720</v>
      </c>
      <c r="D702" t="s">
        <v>547</v>
      </c>
      <c r="E702" t="s">
        <v>20</v>
      </c>
      <c r="F702" t="s">
        <v>16</v>
      </c>
      <c r="G702" t="s">
        <v>69</v>
      </c>
      <c r="H702">
        <v>13</v>
      </c>
      <c r="I702">
        <v>1580</v>
      </c>
      <c r="J702">
        <v>10</v>
      </c>
      <c r="K702">
        <v>18486</v>
      </c>
      <c r="L702" t="s">
        <v>77</v>
      </c>
      <c r="M702" s="2">
        <f>Table1[[#This Row],[Revenue_INR]]-Table1[[#This Row],[Price_INR]]</f>
        <v>16906</v>
      </c>
      <c r="N702">
        <f>YEAR(Table1[[#This Row],[Date]])</f>
        <v>2024</v>
      </c>
      <c r="O702" s="2">
        <f t="shared" si="40"/>
        <v>1422</v>
      </c>
      <c r="P702" s="7">
        <f t="shared" si="41"/>
        <v>91.452991452991455</v>
      </c>
      <c r="Q702" s="2">
        <f t="shared" si="42"/>
        <v>2054</v>
      </c>
      <c r="R702" s="5" t="str">
        <f t="shared" si="43"/>
        <v>Below Average</v>
      </c>
      <c r="S702" s="5" t="str">
        <f>Table1[[#This Row],[Quarter]]&amp;" - "&amp;Table1[[#This Row],[City]]</f>
        <v>Q3 - Mumbai</v>
      </c>
    </row>
    <row r="703" spans="1:19" x14ac:dyDescent="0.3">
      <c r="A703" t="s">
        <v>771</v>
      </c>
      <c r="B703" s="1">
        <v>45554</v>
      </c>
      <c r="C703" t="s">
        <v>720</v>
      </c>
      <c r="D703" t="s">
        <v>547</v>
      </c>
      <c r="E703" t="s">
        <v>20</v>
      </c>
      <c r="F703" t="s">
        <v>26</v>
      </c>
      <c r="G703" t="s">
        <v>80</v>
      </c>
      <c r="H703">
        <v>6</v>
      </c>
      <c r="I703">
        <v>7290</v>
      </c>
      <c r="J703">
        <v>0</v>
      </c>
      <c r="K703">
        <v>43740</v>
      </c>
      <c r="L703" t="s">
        <v>23</v>
      </c>
      <c r="M703" s="2">
        <f>Table1[[#This Row],[Revenue_INR]]-Table1[[#This Row],[Price_INR]]</f>
        <v>36450</v>
      </c>
      <c r="N703">
        <f>YEAR(Table1[[#This Row],[Date]])</f>
        <v>2024</v>
      </c>
      <c r="O703" s="2">
        <f t="shared" si="40"/>
        <v>7290</v>
      </c>
      <c r="P703" s="7">
        <f t="shared" si="41"/>
        <v>83.333333333333343</v>
      </c>
      <c r="Q703" s="2">
        <f t="shared" si="42"/>
        <v>0</v>
      </c>
      <c r="R703" s="5" t="str">
        <f t="shared" si="43"/>
        <v>Above Average</v>
      </c>
      <c r="S703" s="5" t="str">
        <f>Table1[[#This Row],[Quarter]]&amp;" - "&amp;Table1[[#This Row],[City]]</f>
        <v>Q3 - Mumbai</v>
      </c>
    </row>
    <row r="704" spans="1:19" x14ac:dyDescent="0.3">
      <c r="A704" t="s">
        <v>772</v>
      </c>
      <c r="B704" s="1">
        <v>45555</v>
      </c>
      <c r="C704" t="s">
        <v>720</v>
      </c>
      <c r="D704" t="s">
        <v>547</v>
      </c>
      <c r="E704" t="s">
        <v>34</v>
      </c>
      <c r="F704" t="s">
        <v>60</v>
      </c>
      <c r="G704" t="s">
        <v>99</v>
      </c>
      <c r="H704">
        <v>11</v>
      </c>
      <c r="I704">
        <v>1150</v>
      </c>
      <c r="J704">
        <v>0</v>
      </c>
      <c r="K704">
        <v>12650</v>
      </c>
      <c r="L704" t="s">
        <v>45</v>
      </c>
      <c r="M704" s="2">
        <f>Table1[[#This Row],[Revenue_INR]]-Table1[[#This Row],[Price_INR]]</f>
        <v>11500</v>
      </c>
      <c r="N704">
        <f>YEAR(Table1[[#This Row],[Date]])</f>
        <v>2024</v>
      </c>
      <c r="O704" s="2">
        <f t="shared" si="40"/>
        <v>1150</v>
      </c>
      <c r="P704" s="7">
        <f t="shared" si="41"/>
        <v>90.909090909090907</v>
      </c>
      <c r="Q704" s="2">
        <f t="shared" si="42"/>
        <v>0</v>
      </c>
      <c r="R704" s="5" t="str">
        <f t="shared" si="43"/>
        <v>Below Average</v>
      </c>
      <c r="S704" s="5" t="str">
        <f>Table1[[#This Row],[Quarter]]&amp;" - "&amp;Table1[[#This Row],[City]]</f>
        <v>Q3 - Delhi</v>
      </c>
    </row>
    <row r="705" spans="1:19" x14ac:dyDescent="0.3">
      <c r="A705" t="s">
        <v>773</v>
      </c>
      <c r="B705" s="1">
        <v>45555</v>
      </c>
      <c r="C705" t="s">
        <v>720</v>
      </c>
      <c r="D705" t="s">
        <v>547</v>
      </c>
      <c r="E705" t="s">
        <v>34</v>
      </c>
      <c r="F705" t="s">
        <v>21</v>
      </c>
      <c r="G705" t="s">
        <v>94</v>
      </c>
      <c r="H705">
        <v>10</v>
      </c>
      <c r="I705">
        <v>3240</v>
      </c>
      <c r="J705">
        <v>0</v>
      </c>
      <c r="K705">
        <v>32400</v>
      </c>
      <c r="L705" t="s">
        <v>36</v>
      </c>
      <c r="M705" s="2">
        <f>Table1[[#This Row],[Revenue_INR]]-Table1[[#This Row],[Price_INR]]</f>
        <v>29160</v>
      </c>
      <c r="N705">
        <f>YEAR(Table1[[#This Row],[Date]])</f>
        <v>2024</v>
      </c>
      <c r="O705" s="2">
        <f t="shared" si="40"/>
        <v>3240</v>
      </c>
      <c r="P705" s="7">
        <f t="shared" si="41"/>
        <v>90</v>
      </c>
      <c r="Q705" s="2">
        <f t="shared" si="42"/>
        <v>0</v>
      </c>
      <c r="R705" s="5" t="str">
        <f t="shared" si="43"/>
        <v>Above Average</v>
      </c>
      <c r="S705" s="5" t="str">
        <f>Table1[[#This Row],[Quarter]]&amp;" - "&amp;Table1[[#This Row],[City]]</f>
        <v>Q3 - Delhi</v>
      </c>
    </row>
    <row r="706" spans="1:19" x14ac:dyDescent="0.3">
      <c r="A706" t="s">
        <v>774</v>
      </c>
      <c r="B706" s="1">
        <v>45556</v>
      </c>
      <c r="C706" t="s">
        <v>720</v>
      </c>
      <c r="D706" t="s">
        <v>547</v>
      </c>
      <c r="E706" t="s">
        <v>15</v>
      </c>
      <c r="F706" t="s">
        <v>21</v>
      </c>
      <c r="G706" t="s">
        <v>94</v>
      </c>
      <c r="H706">
        <v>11</v>
      </c>
      <c r="I706">
        <v>1010</v>
      </c>
      <c r="J706">
        <v>5</v>
      </c>
      <c r="K706">
        <v>10554.5</v>
      </c>
      <c r="L706" t="s">
        <v>18</v>
      </c>
      <c r="M706" s="2">
        <f>Table1[[#This Row],[Revenue_INR]]-Table1[[#This Row],[Price_INR]]</f>
        <v>9544.5</v>
      </c>
      <c r="N706">
        <f>YEAR(Table1[[#This Row],[Date]])</f>
        <v>2024</v>
      </c>
      <c r="O706" s="2">
        <f t="shared" ref="O706:O769" si="44">K706/H706</f>
        <v>959.5</v>
      </c>
      <c r="P706" s="7">
        <f t="shared" ref="P706:P769" si="45">M706/K706*100</f>
        <v>90.430622009569376</v>
      </c>
      <c r="Q706" s="2">
        <f t="shared" ref="Q706:Q769" si="46">I706*H706*J706/100</f>
        <v>555.5</v>
      </c>
      <c r="R706" s="5" t="str">
        <f t="shared" ref="R706:R769" si="47">IF(K706&gt;AVERAGE($K$2:$K$1001),"Above Average","Below Average")</f>
        <v>Below Average</v>
      </c>
      <c r="S706" s="5" t="str">
        <f>Table1[[#This Row],[Quarter]]&amp;" - "&amp;Table1[[#This Row],[City]]</f>
        <v>Q3 - Kolkata</v>
      </c>
    </row>
    <row r="707" spans="1:19" x14ac:dyDescent="0.3">
      <c r="A707" t="s">
        <v>775</v>
      </c>
      <c r="B707" s="1">
        <v>45556</v>
      </c>
      <c r="C707" t="s">
        <v>720</v>
      </c>
      <c r="D707" t="s">
        <v>547</v>
      </c>
      <c r="E707" t="s">
        <v>15</v>
      </c>
      <c r="F707" t="s">
        <v>31</v>
      </c>
      <c r="G707" t="s">
        <v>131</v>
      </c>
      <c r="H707">
        <v>7</v>
      </c>
      <c r="I707">
        <v>3580</v>
      </c>
      <c r="J707">
        <v>5</v>
      </c>
      <c r="K707">
        <v>23807</v>
      </c>
      <c r="L707" t="s">
        <v>53</v>
      </c>
      <c r="M707" s="2">
        <f>Table1[[#This Row],[Revenue_INR]]-Table1[[#This Row],[Price_INR]]</f>
        <v>20227</v>
      </c>
      <c r="N707">
        <f>YEAR(Table1[[#This Row],[Date]])</f>
        <v>2024</v>
      </c>
      <c r="O707" s="2">
        <f t="shared" si="44"/>
        <v>3401</v>
      </c>
      <c r="P707" s="7">
        <f t="shared" si="45"/>
        <v>84.962406015037601</v>
      </c>
      <c r="Q707" s="2">
        <f t="shared" si="46"/>
        <v>1253</v>
      </c>
      <c r="R707" s="5" t="str">
        <f t="shared" si="47"/>
        <v>Below Average</v>
      </c>
      <c r="S707" s="5" t="str">
        <f>Table1[[#This Row],[Quarter]]&amp;" - "&amp;Table1[[#This Row],[City]]</f>
        <v>Q3 - Kolkata</v>
      </c>
    </row>
    <row r="708" spans="1:19" x14ac:dyDescent="0.3">
      <c r="A708" t="s">
        <v>776</v>
      </c>
      <c r="B708" s="1">
        <v>45556</v>
      </c>
      <c r="C708" t="s">
        <v>720</v>
      </c>
      <c r="D708" t="s">
        <v>547</v>
      </c>
      <c r="E708" t="s">
        <v>25</v>
      </c>
      <c r="F708" t="s">
        <v>47</v>
      </c>
      <c r="G708" t="s">
        <v>48</v>
      </c>
      <c r="H708">
        <v>1</v>
      </c>
      <c r="I708">
        <v>6290</v>
      </c>
      <c r="J708">
        <v>25</v>
      </c>
      <c r="K708">
        <v>4717.5</v>
      </c>
      <c r="L708" t="s">
        <v>42</v>
      </c>
      <c r="M708" s="2">
        <f>Table1[[#This Row],[Revenue_INR]]-Table1[[#This Row],[Price_INR]]</f>
        <v>-1572.5</v>
      </c>
      <c r="N708">
        <f>YEAR(Table1[[#This Row],[Date]])</f>
        <v>2024</v>
      </c>
      <c r="O708" s="2">
        <f t="shared" si="44"/>
        <v>4717.5</v>
      </c>
      <c r="P708" s="7">
        <f t="shared" si="45"/>
        <v>-33.333333333333329</v>
      </c>
      <c r="Q708" s="2">
        <f t="shared" si="46"/>
        <v>1572.5</v>
      </c>
      <c r="R708" s="5" t="str">
        <f t="shared" si="47"/>
        <v>Below Average</v>
      </c>
      <c r="S708" s="5" t="str">
        <f>Table1[[#This Row],[Quarter]]&amp;" - "&amp;Table1[[#This Row],[City]]</f>
        <v>Q3 - Hyderabad</v>
      </c>
    </row>
    <row r="709" spans="1:19" x14ac:dyDescent="0.3">
      <c r="A709" t="s">
        <v>777</v>
      </c>
      <c r="B709" s="1">
        <v>45557</v>
      </c>
      <c r="C709" t="s">
        <v>720</v>
      </c>
      <c r="D709" t="s">
        <v>547</v>
      </c>
      <c r="E709" t="s">
        <v>15</v>
      </c>
      <c r="F709" t="s">
        <v>60</v>
      </c>
      <c r="G709" t="s">
        <v>85</v>
      </c>
      <c r="H709">
        <v>15</v>
      </c>
      <c r="I709">
        <v>2220</v>
      </c>
      <c r="J709">
        <v>30</v>
      </c>
      <c r="K709">
        <v>23310</v>
      </c>
      <c r="L709" t="s">
        <v>53</v>
      </c>
      <c r="M709" s="2">
        <f>Table1[[#This Row],[Revenue_INR]]-Table1[[#This Row],[Price_INR]]</f>
        <v>21090</v>
      </c>
      <c r="N709">
        <f>YEAR(Table1[[#This Row],[Date]])</f>
        <v>2024</v>
      </c>
      <c r="O709" s="2">
        <f t="shared" si="44"/>
        <v>1554</v>
      </c>
      <c r="P709" s="7">
        <f t="shared" si="45"/>
        <v>90.476190476190482</v>
      </c>
      <c r="Q709" s="2">
        <f t="shared" si="46"/>
        <v>9990</v>
      </c>
      <c r="R709" s="5" t="str">
        <f t="shared" si="47"/>
        <v>Below Average</v>
      </c>
      <c r="S709" s="5" t="str">
        <f>Table1[[#This Row],[Quarter]]&amp;" - "&amp;Table1[[#This Row],[City]]</f>
        <v>Q3 - Kolkata</v>
      </c>
    </row>
    <row r="710" spans="1:19" x14ac:dyDescent="0.3">
      <c r="A710" t="s">
        <v>778</v>
      </c>
      <c r="B710" s="1">
        <v>45557</v>
      </c>
      <c r="C710" t="s">
        <v>720</v>
      </c>
      <c r="D710" t="s">
        <v>547</v>
      </c>
      <c r="E710" t="s">
        <v>34</v>
      </c>
      <c r="F710" t="s">
        <v>21</v>
      </c>
      <c r="G710" t="s">
        <v>71</v>
      </c>
      <c r="H710">
        <v>6</v>
      </c>
      <c r="I710">
        <v>2670</v>
      </c>
      <c r="J710">
        <v>30</v>
      </c>
      <c r="K710">
        <v>11214</v>
      </c>
      <c r="L710" t="s">
        <v>49</v>
      </c>
      <c r="M710" s="2">
        <f>Table1[[#This Row],[Revenue_INR]]-Table1[[#This Row],[Price_INR]]</f>
        <v>8544</v>
      </c>
      <c r="N710">
        <f>YEAR(Table1[[#This Row],[Date]])</f>
        <v>2024</v>
      </c>
      <c r="O710" s="2">
        <f t="shared" si="44"/>
        <v>1869</v>
      </c>
      <c r="P710" s="7">
        <f t="shared" si="45"/>
        <v>76.19047619047619</v>
      </c>
      <c r="Q710" s="2">
        <f t="shared" si="46"/>
        <v>4806</v>
      </c>
      <c r="R710" s="5" t="str">
        <f t="shared" si="47"/>
        <v>Below Average</v>
      </c>
      <c r="S710" s="5" t="str">
        <f>Table1[[#This Row],[Quarter]]&amp;" - "&amp;Table1[[#This Row],[City]]</f>
        <v>Q3 - Delhi</v>
      </c>
    </row>
    <row r="711" spans="1:19" x14ac:dyDescent="0.3">
      <c r="A711" t="s">
        <v>779</v>
      </c>
      <c r="B711" s="1">
        <v>45558</v>
      </c>
      <c r="C711" t="s">
        <v>720</v>
      </c>
      <c r="D711" t="s">
        <v>547</v>
      </c>
      <c r="E711" t="s">
        <v>25</v>
      </c>
      <c r="F711" t="s">
        <v>31</v>
      </c>
      <c r="G711" t="s">
        <v>38</v>
      </c>
      <c r="H711">
        <v>13</v>
      </c>
      <c r="I711">
        <v>2710</v>
      </c>
      <c r="J711">
        <v>5</v>
      </c>
      <c r="K711">
        <v>33468.5</v>
      </c>
      <c r="L711" t="s">
        <v>28</v>
      </c>
      <c r="M711" s="2">
        <f>Table1[[#This Row],[Revenue_INR]]-Table1[[#This Row],[Price_INR]]</f>
        <v>30758.5</v>
      </c>
      <c r="N711">
        <f>YEAR(Table1[[#This Row],[Date]])</f>
        <v>2024</v>
      </c>
      <c r="O711" s="2">
        <f t="shared" si="44"/>
        <v>2574.5</v>
      </c>
      <c r="P711" s="7">
        <f t="shared" si="45"/>
        <v>91.902834008097173</v>
      </c>
      <c r="Q711" s="2">
        <f t="shared" si="46"/>
        <v>1761.5</v>
      </c>
      <c r="R711" s="5" t="str">
        <f t="shared" si="47"/>
        <v>Above Average</v>
      </c>
      <c r="S711" s="5" t="str">
        <f>Table1[[#This Row],[Quarter]]&amp;" - "&amp;Table1[[#This Row],[City]]</f>
        <v>Q3 - Hyderabad</v>
      </c>
    </row>
    <row r="712" spans="1:19" x14ac:dyDescent="0.3">
      <c r="A712" t="s">
        <v>780</v>
      </c>
      <c r="B712" s="1">
        <v>45558</v>
      </c>
      <c r="C712" t="s">
        <v>720</v>
      </c>
      <c r="D712" t="s">
        <v>547</v>
      </c>
      <c r="E712" t="s">
        <v>20</v>
      </c>
      <c r="F712" t="s">
        <v>60</v>
      </c>
      <c r="G712" t="s">
        <v>99</v>
      </c>
      <c r="H712">
        <v>8</v>
      </c>
      <c r="I712">
        <v>2400</v>
      </c>
      <c r="J712">
        <v>25</v>
      </c>
      <c r="K712">
        <v>14400</v>
      </c>
      <c r="L712" t="s">
        <v>77</v>
      </c>
      <c r="M712" s="2">
        <f>Table1[[#This Row],[Revenue_INR]]-Table1[[#This Row],[Price_INR]]</f>
        <v>12000</v>
      </c>
      <c r="N712">
        <f>YEAR(Table1[[#This Row],[Date]])</f>
        <v>2024</v>
      </c>
      <c r="O712" s="2">
        <f t="shared" si="44"/>
        <v>1800</v>
      </c>
      <c r="P712" s="7">
        <f t="shared" si="45"/>
        <v>83.333333333333343</v>
      </c>
      <c r="Q712" s="2">
        <f t="shared" si="46"/>
        <v>4800</v>
      </c>
      <c r="R712" s="5" t="str">
        <f t="shared" si="47"/>
        <v>Below Average</v>
      </c>
      <c r="S712" s="5" t="str">
        <f>Table1[[#This Row],[Quarter]]&amp;" - "&amp;Table1[[#This Row],[City]]</f>
        <v>Q3 - Mumbai</v>
      </c>
    </row>
    <row r="713" spans="1:19" x14ac:dyDescent="0.3">
      <c r="A713" t="s">
        <v>781</v>
      </c>
      <c r="B713" s="1">
        <v>45559</v>
      </c>
      <c r="C713" t="s">
        <v>720</v>
      </c>
      <c r="D713" t="s">
        <v>547</v>
      </c>
      <c r="E713" t="s">
        <v>25</v>
      </c>
      <c r="F713" t="s">
        <v>21</v>
      </c>
      <c r="G713" t="s">
        <v>75</v>
      </c>
      <c r="H713">
        <v>12</v>
      </c>
      <c r="I713">
        <v>2040</v>
      </c>
      <c r="J713">
        <v>30</v>
      </c>
      <c r="K713">
        <v>17136</v>
      </c>
      <c r="L713" t="s">
        <v>42</v>
      </c>
      <c r="M713" s="2">
        <f>Table1[[#This Row],[Revenue_INR]]-Table1[[#This Row],[Price_INR]]</f>
        <v>15096</v>
      </c>
      <c r="N713">
        <f>YEAR(Table1[[#This Row],[Date]])</f>
        <v>2024</v>
      </c>
      <c r="O713" s="2">
        <f t="shared" si="44"/>
        <v>1428</v>
      </c>
      <c r="P713" s="7">
        <f t="shared" si="45"/>
        <v>88.095238095238088</v>
      </c>
      <c r="Q713" s="2">
        <f t="shared" si="46"/>
        <v>7344</v>
      </c>
      <c r="R713" s="5" t="str">
        <f t="shared" si="47"/>
        <v>Below Average</v>
      </c>
      <c r="S713" s="5" t="str">
        <f>Table1[[#This Row],[Quarter]]&amp;" - "&amp;Table1[[#This Row],[City]]</f>
        <v>Q3 - Hyderabad</v>
      </c>
    </row>
    <row r="714" spans="1:19" x14ac:dyDescent="0.3">
      <c r="A714" t="s">
        <v>782</v>
      </c>
      <c r="B714" s="1">
        <v>45559</v>
      </c>
      <c r="C714" t="s">
        <v>720</v>
      </c>
      <c r="D714" t="s">
        <v>547</v>
      </c>
      <c r="E714" t="s">
        <v>20</v>
      </c>
      <c r="F714" t="s">
        <v>47</v>
      </c>
      <c r="G714" t="s">
        <v>51</v>
      </c>
      <c r="H714">
        <v>13</v>
      </c>
      <c r="I714">
        <v>6260</v>
      </c>
      <c r="J714">
        <v>10</v>
      </c>
      <c r="K714">
        <v>73242</v>
      </c>
      <c r="L714" t="s">
        <v>39</v>
      </c>
      <c r="M714" s="2">
        <f>Table1[[#This Row],[Revenue_INR]]-Table1[[#This Row],[Price_INR]]</f>
        <v>66982</v>
      </c>
      <c r="N714">
        <f>YEAR(Table1[[#This Row],[Date]])</f>
        <v>2024</v>
      </c>
      <c r="O714" s="2">
        <f t="shared" si="44"/>
        <v>5634</v>
      </c>
      <c r="P714" s="7">
        <f t="shared" si="45"/>
        <v>91.452991452991455</v>
      </c>
      <c r="Q714" s="2">
        <f t="shared" si="46"/>
        <v>8138</v>
      </c>
      <c r="R714" s="5" t="str">
        <f t="shared" si="47"/>
        <v>Above Average</v>
      </c>
      <c r="S714" s="5" t="str">
        <f>Table1[[#This Row],[Quarter]]&amp;" - "&amp;Table1[[#This Row],[City]]</f>
        <v>Q3 - Mumbai</v>
      </c>
    </row>
    <row r="715" spans="1:19" x14ac:dyDescent="0.3">
      <c r="A715" t="s">
        <v>783</v>
      </c>
      <c r="B715" s="1">
        <v>45559</v>
      </c>
      <c r="C715" t="s">
        <v>720</v>
      </c>
      <c r="D715" t="s">
        <v>547</v>
      </c>
      <c r="E715" t="s">
        <v>15</v>
      </c>
      <c r="F715" t="s">
        <v>16</v>
      </c>
      <c r="G715" t="s">
        <v>44</v>
      </c>
      <c r="H715">
        <v>11</v>
      </c>
      <c r="I715">
        <v>860</v>
      </c>
      <c r="J715">
        <v>10</v>
      </c>
      <c r="K715">
        <v>8514</v>
      </c>
      <c r="L715" t="s">
        <v>53</v>
      </c>
      <c r="M715" s="2">
        <f>Table1[[#This Row],[Revenue_INR]]-Table1[[#This Row],[Price_INR]]</f>
        <v>7654</v>
      </c>
      <c r="N715">
        <f>YEAR(Table1[[#This Row],[Date]])</f>
        <v>2024</v>
      </c>
      <c r="O715" s="2">
        <f t="shared" si="44"/>
        <v>774</v>
      </c>
      <c r="P715" s="7">
        <f t="shared" si="45"/>
        <v>89.898989898989896</v>
      </c>
      <c r="Q715" s="2">
        <f t="shared" si="46"/>
        <v>946</v>
      </c>
      <c r="R715" s="5" t="str">
        <f t="shared" si="47"/>
        <v>Below Average</v>
      </c>
      <c r="S715" s="5" t="str">
        <f>Table1[[#This Row],[Quarter]]&amp;" - "&amp;Table1[[#This Row],[City]]</f>
        <v>Q3 - Kolkata</v>
      </c>
    </row>
    <row r="716" spans="1:19" x14ac:dyDescent="0.3">
      <c r="A716" t="s">
        <v>784</v>
      </c>
      <c r="B716" s="1">
        <v>45559</v>
      </c>
      <c r="C716" t="s">
        <v>720</v>
      </c>
      <c r="D716" t="s">
        <v>547</v>
      </c>
      <c r="E716" t="s">
        <v>20</v>
      </c>
      <c r="F716" t="s">
        <v>26</v>
      </c>
      <c r="G716" t="s">
        <v>80</v>
      </c>
      <c r="H716">
        <v>10</v>
      </c>
      <c r="I716">
        <v>6320</v>
      </c>
      <c r="J716">
        <v>20</v>
      </c>
      <c r="K716">
        <v>50560</v>
      </c>
      <c r="L716" t="s">
        <v>23</v>
      </c>
      <c r="M716" s="2">
        <f>Table1[[#This Row],[Revenue_INR]]-Table1[[#This Row],[Price_INR]]</f>
        <v>44240</v>
      </c>
      <c r="N716">
        <f>YEAR(Table1[[#This Row],[Date]])</f>
        <v>2024</v>
      </c>
      <c r="O716" s="2">
        <f t="shared" si="44"/>
        <v>5056</v>
      </c>
      <c r="P716" s="7">
        <f t="shared" si="45"/>
        <v>87.5</v>
      </c>
      <c r="Q716" s="2">
        <f t="shared" si="46"/>
        <v>12640</v>
      </c>
      <c r="R716" s="5" t="str">
        <f t="shared" si="47"/>
        <v>Above Average</v>
      </c>
      <c r="S716" s="5" t="str">
        <f>Table1[[#This Row],[Quarter]]&amp;" - "&amp;Table1[[#This Row],[City]]</f>
        <v>Q3 - Mumbai</v>
      </c>
    </row>
    <row r="717" spans="1:19" x14ac:dyDescent="0.3">
      <c r="A717" t="s">
        <v>785</v>
      </c>
      <c r="B717" s="1">
        <v>45561</v>
      </c>
      <c r="C717" t="s">
        <v>720</v>
      </c>
      <c r="D717" t="s">
        <v>547</v>
      </c>
      <c r="E717" t="s">
        <v>34</v>
      </c>
      <c r="F717" t="s">
        <v>47</v>
      </c>
      <c r="G717" t="s">
        <v>48</v>
      </c>
      <c r="H717">
        <v>12</v>
      </c>
      <c r="I717">
        <v>2510</v>
      </c>
      <c r="J717">
        <v>10</v>
      </c>
      <c r="K717">
        <v>27108</v>
      </c>
      <c r="L717" t="s">
        <v>45</v>
      </c>
      <c r="M717" s="2">
        <f>Table1[[#This Row],[Revenue_INR]]-Table1[[#This Row],[Price_INR]]</f>
        <v>24598</v>
      </c>
      <c r="N717">
        <f>YEAR(Table1[[#This Row],[Date]])</f>
        <v>2024</v>
      </c>
      <c r="O717" s="2">
        <f t="shared" si="44"/>
        <v>2259</v>
      </c>
      <c r="P717" s="7">
        <f t="shared" si="45"/>
        <v>90.740740740740748</v>
      </c>
      <c r="Q717" s="2">
        <f t="shared" si="46"/>
        <v>3012</v>
      </c>
      <c r="R717" s="5" t="str">
        <f t="shared" si="47"/>
        <v>Above Average</v>
      </c>
      <c r="S717" s="5" t="str">
        <f>Table1[[#This Row],[Quarter]]&amp;" - "&amp;Table1[[#This Row],[City]]</f>
        <v>Q3 - Delhi</v>
      </c>
    </row>
    <row r="718" spans="1:19" x14ac:dyDescent="0.3">
      <c r="A718" t="s">
        <v>786</v>
      </c>
      <c r="B718" s="1">
        <v>45561</v>
      </c>
      <c r="C718" t="s">
        <v>720</v>
      </c>
      <c r="D718" t="s">
        <v>547</v>
      </c>
      <c r="E718" t="s">
        <v>15</v>
      </c>
      <c r="F718" t="s">
        <v>21</v>
      </c>
      <c r="G718" t="s">
        <v>75</v>
      </c>
      <c r="H718">
        <v>5</v>
      </c>
      <c r="I718">
        <v>2670</v>
      </c>
      <c r="J718">
        <v>10</v>
      </c>
      <c r="K718">
        <v>12015</v>
      </c>
      <c r="L718" t="s">
        <v>53</v>
      </c>
      <c r="M718" s="2">
        <f>Table1[[#This Row],[Revenue_INR]]-Table1[[#This Row],[Price_INR]]</f>
        <v>9345</v>
      </c>
      <c r="N718">
        <f>YEAR(Table1[[#This Row],[Date]])</f>
        <v>2024</v>
      </c>
      <c r="O718" s="2">
        <f t="shared" si="44"/>
        <v>2403</v>
      </c>
      <c r="P718" s="7">
        <f t="shared" si="45"/>
        <v>77.777777777777786</v>
      </c>
      <c r="Q718" s="2">
        <f t="shared" si="46"/>
        <v>1335</v>
      </c>
      <c r="R718" s="5" t="str">
        <f t="shared" si="47"/>
        <v>Below Average</v>
      </c>
      <c r="S718" s="5" t="str">
        <f>Table1[[#This Row],[Quarter]]&amp;" - "&amp;Table1[[#This Row],[City]]</f>
        <v>Q3 - Kolkata</v>
      </c>
    </row>
    <row r="719" spans="1:19" x14ac:dyDescent="0.3">
      <c r="A719" t="s">
        <v>787</v>
      </c>
      <c r="B719" s="1">
        <v>45561</v>
      </c>
      <c r="C719" t="s">
        <v>720</v>
      </c>
      <c r="D719" t="s">
        <v>547</v>
      </c>
      <c r="E719" t="s">
        <v>25</v>
      </c>
      <c r="F719" t="s">
        <v>16</v>
      </c>
      <c r="G719" t="s">
        <v>17</v>
      </c>
      <c r="H719">
        <v>3</v>
      </c>
      <c r="I719">
        <v>1500</v>
      </c>
      <c r="J719">
        <v>5</v>
      </c>
      <c r="K719">
        <v>4275</v>
      </c>
      <c r="L719" t="s">
        <v>42</v>
      </c>
      <c r="M719" s="2">
        <f>Table1[[#This Row],[Revenue_INR]]-Table1[[#This Row],[Price_INR]]</f>
        <v>2775</v>
      </c>
      <c r="N719">
        <f>YEAR(Table1[[#This Row],[Date]])</f>
        <v>2024</v>
      </c>
      <c r="O719" s="2">
        <f t="shared" si="44"/>
        <v>1425</v>
      </c>
      <c r="P719" s="7">
        <f t="shared" si="45"/>
        <v>64.912280701754383</v>
      </c>
      <c r="Q719" s="2">
        <f t="shared" si="46"/>
        <v>225</v>
      </c>
      <c r="R719" s="5" t="str">
        <f t="shared" si="47"/>
        <v>Below Average</v>
      </c>
      <c r="S719" s="5" t="str">
        <f>Table1[[#This Row],[Quarter]]&amp;" - "&amp;Table1[[#This Row],[City]]</f>
        <v>Q3 - Hyderabad</v>
      </c>
    </row>
    <row r="720" spans="1:19" x14ac:dyDescent="0.3">
      <c r="A720" t="s">
        <v>788</v>
      </c>
      <c r="B720" s="1">
        <v>45561</v>
      </c>
      <c r="C720" t="s">
        <v>720</v>
      </c>
      <c r="D720" t="s">
        <v>547</v>
      </c>
      <c r="E720" t="s">
        <v>20</v>
      </c>
      <c r="F720" t="s">
        <v>60</v>
      </c>
      <c r="G720" t="s">
        <v>85</v>
      </c>
      <c r="H720">
        <v>4</v>
      </c>
      <c r="I720">
        <v>1610</v>
      </c>
      <c r="J720">
        <v>5</v>
      </c>
      <c r="K720">
        <v>6118</v>
      </c>
      <c r="L720" t="s">
        <v>77</v>
      </c>
      <c r="M720" s="2">
        <f>Table1[[#This Row],[Revenue_INR]]-Table1[[#This Row],[Price_INR]]</f>
        <v>4508</v>
      </c>
      <c r="N720">
        <f>YEAR(Table1[[#This Row],[Date]])</f>
        <v>2024</v>
      </c>
      <c r="O720" s="2">
        <f t="shared" si="44"/>
        <v>1529.5</v>
      </c>
      <c r="P720" s="7">
        <f t="shared" si="45"/>
        <v>73.68421052631578</v>
      </c>
      <c r="Q720" s="2">
        <f t="shared" si="46"/>
        <v>322</v>
      </c>
      <c r="R720" s="5" t="str">
        <f t="shared" si="47"/>
        <v>Below Average</v>
      </c>
      <c r="S720" s="5" t="str">
        <f>Table1[[#This Row],[Quarter]]&amp;" - "&amp;Table1[[#This Row],[City]]</f>
        <v>Q3 - Mumbai</v>
      </c>
    </row>
    <row r="721" spans="1:19" x14ac:dyDescent="0.3">
      <c r="A721" t="s">
        <v>789</v>
      </c>
      <c r="B721" s="1">
        <v>45562</v>
      </c>
      <c r="C721" t="s">
        <v>720</v>
      </c>
      <c r="D721" t="s">
        <v>547</v>
      </c>
      <c r="E721" t="s">
        <v>25</v>
      </c>
      <c r="F721" t="s">
        <v>16</v>
      </c>
      <c r="G721" t="s">
        <v>17</v>
      </c>
      <c r="H721">
        <v>9</v>
      </c>
      <c r="I721">
        <v>620</v>
      </c>
      <c r="J721">
        <v>15</v>
      </c>
      <c r="K721">
        <v>4743</v>
      </c>
      <c r="L721" t="s">
        <v>42</v>
      </c>
      <c r="M721" s="2">
        <f>Table1[[#This Row],[Revenue_INR]]-Table1[[#This Row],[Price_INR]]</f>
        <v>4123</v>
      </c>
      <c r="N721">
        <f>YEAR(Table1[[#This Row],[Date]])</f>
        <v>2024</v>
      </c>
      <c r="O721" s="2">
        <f t="shared" si="44"/>
        <v>527</v>
      </c>
      <c r="P721" s="7">
        <f t="shared" si="45"/>
        <v>86.928104575163403</v>
      </c>
      <c r="Q721" s="2">
        <f t="shared" si="46"/>
        <v>837</v>
      </c>
      <c r="R721" s="5" t="str">
        <f t="shared" si="47"/>
        <v>Below Average</v>
      </c>
      <c r="S721" s="5" t="str">
        <f>Table1[[#This Row],[Quarter]]&amp;" - "&amp;Table1[[#This Row],[City]]</f>
        <v>Q3 - Hyderabad</v>
      </c>
    </row>
    <row r="722" spans="1:19" x14ac:dyDescent="0.3">
      <c r="A722" t="s">
        <v>790</v>
      </c>
      <c r="B722" s="1">
        <v>45562</v>
      </c>
      <c r="C722" t="s">
        <v>720</v>
      </c>
      <c r="D722" t="s">
        <v>547</v>
      </c>
      <c r="E722" t="s">
        <v>25</v>
      </c>
      <c r="F722" t="s">
        <v>21</v>
      </c>
      <c r="G722" t="s">
        <v>71</v>
      </c>
      <c r="H722">
        <v>3</v>
      </c>
      <c r="I722">
        <v>3360</v>
      </c>
      <c r="J722">
        <v>10</v>
      </c>
      <c r="K722">
        <v>9072</v>
      </c>
      <c r="L722" t="s">
        <v>66</v>
      </c>
      <c r="M722" s="2">
        <f>Table1[[#This Row],[Revenue_INR]]-Table1[[#This Row],[Price_INR]]</f>
        <v>5712</v>
      </c>
      <c r="N722">
        <f>YEAR(Table1[[#This Row],[Date]])</f>
        <v>2024</v>
      </c>
      <c r="O722" s="2">
        <f t="shared" si="44"/>
        <v>3024</v>
      </c>
      <c r="P722" s="7">
        <f t="shared" si="45"/>
        <v>62.962962962962962</v>
      </c>
      <c r="Q722" s="2">
        <f t="shared" si="46"/>
        <v>1008</v>
      </c>
      <c r="R722" s="5" t="str">
        <f t="shared" si="47"/>
        <v>Below Average</v>
      </c>
      <c r="S722" s="5" t="str">
        <f>Table1[[#This Row],[Quarter]]&amp;" - "&amp;Table1[[#This Row],[City]]</f>
        <v>Q3 - Hyderabad</v>
      </c>
    </row>
    <row r="723" spans="1:19" x14ac:dyDescent="0.3">
      <c r="A723" t="s">
        <v>791</v>
      </c>
      <c r="B723" s="1">
        <v>45562</v>
      </c>
      <c r="C723" t="s">
        <v>720</v>
      </c>
      <c r="D723" t="s">
        <v>547</v>
      </c>
      <c r="E723" t="s">
        <v>15</v>
      </c>
      <c r="F723" t="s">
        <v>60</v>
      </c>
      <c r="G723" t="s">
        <v>85</v>
      </c>
      <c r="H723">
        <v>10</v>
      </c>
      <c r="I723">
        <v>1550</v>
      </c>
      <c r="J723">
        <v>0</v>
      </c>
      <c r="K723">
        <v>15500</v>
      </c>
      <c r="L723" t="s">
        <v>92</v>
      </c>
      <c r="M723" s="2">
        <f>Table1[[#This Row],[Revenue_INR]]-Table1[[#This Row],[Price_INR]]</f>
        <v>13950</v>
      </c>
      <c r="N723">
        <f>YEAR(Table1[[#This Row],[Date]])</f>
        <v>2024</v>
      </c>
      <c r="O723" s="2">
        <f t="shared" si="44"/>
        <v>1550</v>
      </c>
      <c r="P723" s="7">
        <f t="shared" si="45"/>
        <v>90</v>
      </c>
      <c r="Q723" s="2">
        <f t="shared" si="46"/>
        <v>0</v>
      </c>
      <c r="R723" s="5" t="str">
        <f t="shared" si="47"/>
        <v>Below Average</v>
      </c>
      <c r="S723" s="5" t="str">
        <f>Table1[[#This Row],[Quarter]]&amp;" - "&amp;Table1[[#This Row],[City]]</f>
        <v>Q3 - Kolkata</v>
      </c>
    </row>
    <row r="724" spans="1:19" x14ac:dyDescent="0.3">
      <c r="A724" t="s">
        <v>792</v>
      </c>
      <c r="B724" s="1">
        <v>45562</v>
      </c>
      <c r="C724" t="s">
        <v>720</v>
      </c>
      <c r="D724" t="s">
        <v>547</v>
      </c>
      <c r="E724" t="s">
        <v>15</v>
      </c>
      <c r="F724" t="s">
        <v>26</v>
      </c>
      <c r="G724" t="s">
        <v>80</v>
      </c>
      <c r="H724">
        <v>10</v>
      </c>
      <c r="I724">
        <v>5920</v>
      </c>
      <c r="J724">
        <v>15</v>
      </c>
      <c r="K724">
        <v>50320</v>
      </c>
      <c r="L724" t="s">
        <v>53</v>
      </c>
      <c r="M724" s="2">
        <f>Table1[[#This Row],[Revenue_INR]]-Table1[[#This Row],[Price_INR]]</f>
        <v>44400</v>
      </c>
      <c r="N724">
        <f>YEAR(Table1[[#This Row],[Date]])</f>
        <v>2024</v>
      </c>
      <c r="O724" s="2">
        <f t="shared" si="44"/>
        <v>5032</v>
      </c>
      <c r="P724" s="7">
        <f t="shared" si="45"/>
        <v>88.235294117647058</v>
      </c>
      <c r="Q724" s="2">
        <f t="shared" si="46"/>
        <v>8880</v>
      </c>
      <c r="R724" s="5" t="str">
        <f t="shared" si="47"/>
        <v>Above Average</v>
      </c>
      <c r="S724" s="5" t="str">
        <f>Table1[[#This Row],[Quarter]]&amp;" - "&amp;Table1[[#This Row],[City]]</f>
        <v>Q3 - Kolkata</v>
      </c>
    </row>
    <row r="725" spans="1:19" x14ac:dyDescent="0.3">
      <c r="A725" t="s">
        <v>793</v>
      </c>
      <c r="B725" s="1">
        <v>45563</v>
      </c>
      <c r="C725" t="s">
        <v>720</v>
      </c>
      <c r="D725" t="s">
        <v>547</v>
      </c>
      <c r="E725" t="s">
        <v>15</v>
      </c>
      <c r="F725" t="s">
        <v>26</v>
      </c>
      <c r="G725" t="s">
        <v>58</v>
      </c>
      <c r="H725">
        <v>1</v>
      </c>
      <c r="I725">
        <v>5760</v>
      </c>
      <c r="J725">
        <v>25</v>
      </c>
      <c r="K725">
        <v>4320</v>
      </c>
      <c r="L725" t="s">
        <v>53</v>
      </c>
      <c r="M725" s="2">
        <f>Table1[[#This Row],[Revenue_INR]]-Table1[[#This Row],[Price_INR]]</f>
        <v>-1440</v>
      </c>
      <c r="N725">
        <f>YEAR(Table1[[#This Row],[Date]])</f>
        <v>2024</v>
      </c>
      <c r="O725" s="2">
        <f t="shared" si="44"/>
        <v>4320</v>
      </c>
      <c r="P725" s="7">
        <f t="shared" si="45"/>
        <v>-33.333333333333329</v>
      </c>
      <c r="Q725" s="2">
        <f t="shared" si="46"/>
        <v>1440</v>
      </c>
      <c r="R725" s="5" t="str">
        <f t="shared" si="47"/>
        <v>Below Average</v>
      </c>
      <c r="S725" s="5" t="str">
        <f>Table1[[#This Row],[Quarter]]&amp;" - "&amp;Table1[[#This Row],[City]]</f>
        <v>Q3 - Kolkata</v>
      </c>
    </row>
    <row r="726" spans="1:19" x14ac:dyDescent="0.3">
      <c r="A726" t="s">
        <v>794</v>
      </c>
      <c r="B726" s="1">
        <v>45563</v>
      </c>
      <c r="C726" t="s">
        <v>720</v>
      </c>
      <c r="D726" t="s">
        <v>547</v>
      </c>
      <c r="E726" t="s">
        <v>15</v>
      </c>
      <c r="F726" t="s">
        <v>21</v>
      </c>
      <c r="G726" t="s">
        <v>22</v>
      </c>
      <c r="H726">
        <v>9</v>
      </c>
      <c r="I726">
        <v>1160</v>
      </c>
      <c r="J726">
        <v>10</v>
      </c>
      <c r="K726">
        <v>9396</v>
      </c>
      <c r="L726" t="s">
        <v>18</v>
      </c>
      <c r="M726" s="2">
        <f>Table1[[#This Row],[Revenue_INR]]-Table1[[#This Row],[Price_INR]]</f>
        <v>8236</v>
      </c>
      <c r="N726">
        <f>YEAR(Table1[[#This Row],[Date]])</f>
        <v>2024</v>
      </c>
      <c r="O726" s="2">
        <f t="shared" si="44"/>
        <v>1044</v>
      </c>
      <c r="P726" s="7">
        <f t="shared" si="45"/>
        <v>87.654320987654316</v>
      </c>
      <c r="Q726" s="2">
        <f t="shared" si="46"/>
        <v>1044</v>
      </c>
      <c r="R726" s="5" t="str">
        <f t="shared" si="47"/>
        <v>Below Average</v>
      </c>
      <c r="S726" s="5" t="str">
        <f>Table1[[#This Row],[Quarter]]&amp;" - "&amp;Table1[[#This Row],[City]]</f>
        <v>Q3 - Kolkata</v>
      </c>
    </row>
    <row r="727" spans="1:19" x14ac:dyDescent="0.3">
      <c r="A727" t="s">
        <v>795</v>
      </c>
      <c r="B727" s="1">
        <v>45563</v>
      </c>
      <c r="C727" t="s">
        <v>720</v>
      </c>
      <c r="D727" t="s">
        <v>547</v>
      </c>
      <c r="E727" t="s">
        <v>25</v>
      </c>
      <c r="F727" t="s">
        <v>21</v>
      </c>
      <c r="G727" t="s">
        <v>94</v>
      </c>
      <c r="H727">
        <v>9</v>
      </c>
      <c r="I727">
        <v>2860</v>
      </c>
      <c r="J727">
        <v>30</v>
      </c>
      <c r="K727">
        <v>18018</v>
      </c>
      <c r="L727" t="s">
        <v>42</v>
      </c>
      <c r="M727" s="2">
        <f>Table1[[#This Row],[Revenue_INR]]-Table1[[#This Row],[Price_INR]]</f>
        <v>15158</v>
      </c>
      <c r="N727">
        <f>YEAR(Table1[[#This Row],[Date]])</f>
        <v>2024</v>
      </c>
      <c r="O727" s="2">
        <f t="shared" si="44"/>
        <v>2002</v>
      </c>
      <c r="P727" s="7">
        <f t="shared" si="45"/>
        <v>84.126984126984127</v>
      </c>
      <c r="Q727" s="2">
        <f t="shared" si="46"/>
        <v>7722</v>
      </c>
      <c r="R727" s="5" t="str">
        <f t="shared" si="47"/>
        <v>Below Average</v>
      </c>
      <c r="S727" s="5" t="str">
        <f>Table1[[#This Row],[Quarter]]&amp;" - "&amp;Table1[[#This Row],[City]]</f>
        <v>Q3 - Hyderabad</v>
      </c>
    </row>
    <row r="728" spans="1:19" x14ac:dyDescent="0.3">
      <c r="A728" t="s">
        <v>796</v>
      </c>
      <c r="B728" s="1">
        <v>45564</v>
      </c>
      <c r="C728" t="s">
        <v>720</v>
      </c>
      <c r="D728" t="s">
        <v>547</v>
      </c>
      <c r="E728" t="s">
        <v>15</v>
      </c>
      <c r="F728" t="s">
        <v>26</v>
      </c>
      <c r="G728" t="s">
        <v>58</v>
      </c>
      <c r="H728">
        <v>3</v>
      </c>
      <c r="I728">
        <v>5110</v>
      </c>
      <c r="J728">
        <v>15</v>
      </c>
      <c r="K728">
        <v>13030.5</v>
      </c>
      <c r="L728" t="s">
        <v>53</v>
      </c>
      <c r="M728" s="2">
        <f>Table1[[#This Row],[Revenue_INR]]-Table1[[#This Row],[Price_INR]]</f>
        <v>7920.5</v>
      </c>
      <c r="N728">
        <f>YEAR(Table1[[#This Row],[Date]])</f>
        <v>2024</v>
      </c>
      <c r="O728" s="2">
        <f t="shared" si="44"/>
        <v>4343.5</v>
      </c>
      <c r="P728" s="7">
        <f t="shared" si="45"/>
        <v>60.784313725490193</v>
      </c>
      <c r="Q728" s="2">
        <f t="shared" si="46"/>
        <v>2299.5</v>
      </c>
      <c r="R728" s="5" t="str">
        <f t="shared" si="47"/>
        <v>Below Average</v>
      </c>
      <c r="S728" s="5" t="str">
        <f>Table1[[#This Row],[Quarter]]&amp;" - "&amp;Table1[[#This Row],[City]]</f>
        <v>Q3 - Kolkata</v>
      </c>
    </row>
    <row r="729" spans="1:19" x14ac:dyDescent="0.3">
      <c r="A729" t="s">
        <v>797</v>
      </c>
      <c r="B729" s="1">
        <v>45565</v>
      </c>
      <c r="C729" t="s">
        <v>720</v>
      </c>
      <c r="D729" t="s">
        <v>547</v>
      </c>
      <c r="E729" t="s">
        <v>25</v>
      </c>
      <c r="F729" t="s">
        <v>31</v>
      </c>
      <c r="G729" t="s">
        <v>131</v>
      </c>
      <c r="H729">
        <v>7</v>
      </c>
      <c r="I729">
        <v>2690</v>
      </c>
      <c r="J729">
        <v>25</v>
      </c>
      <c r="K729">
        <v>14122.5</v>
      </c>
      <c r="L729" t="s">
        <v>42</v>
      </c>
      <c r="M729" s="2">
        <f>Table1[[#This Row],[Revenue_INR]]-Table1[[#This Row],[Price_INR]]</f>
        <v>11432.5</v>
      </c>
      <c r="N729">
        <f>YEAR(Table1[[#This Row],[Date]])</f>
        <v>2024</v>
      </c>
      <c r="O729" s="2">
        <f t="shared" si="44"/>
        <v>2017.5</v>
      </c>
      <c r="P729" s="7">
        <f t="shared" si="45"/>
        <v>80.952380952380949</v>
      </c>
      <c r="Q729" s="2">
        <f t="shared" si="46"/>
        <v>4707.5</v>
      </c>
      <c r="R729" s="5" t="str">
        <f t="shared" si="47"/>
        <v>Below Average</v>
      </c>
      <c r="S729" s="5" t="str">
        <f>Table1[[#This Row],[Quarter]]&amp;" - "&amp;Table1[[#This Row],[City]]</f>
        <v>Q3 - Hyderabad</v>
      </c>
    </row>
    <row r="730" spans="1:19" x14ac:dyDescent="0.3">
      <c r="A730" t="s">
        <v>798</v>
      </c>
      <c r="B730" s="1">
        <v>45566</v>
      </c>
      <c r="C730" t="s">
        <v>799</v>
      </c>
      <c r="D730" t="s">
        <v>800</v>
      </c>
      <c r="E730" t="s">
        <v>25</v>
      </c>
      <c r="F730" t="s">
        <v>16</v>
      </c>
      <c r="G730" t="s">
        <v>41</v>
      </c>
      <c r="H730">
        <v>14</v>
      </c>
      <c r="I730">
        <v>2840</v>
      </c>
      <c r="J730">
        <v>30</v>
      </c>
      <c r="K730">
        <v>27832</v>
      </c>
      <c r="L730" t="s">
        <v>42</v>
      </c>
      <c r="M730" s="2">
        <f>Table1[[#This Row],[Revenue_INR]]-Table1[[#This Row],[Price_INR]]</f>
        <v>24992</v>
      </c>
      <c r="N730">
        <f>YEAR(Table1[[#This Row],[Date]])</f>
        <v>2024</v>
      </c>
      <c r="O730" s="2">
        <f t="shared" si="44"/>
        <v>1988</v>
      </c>
      <c r="P730" s="7">
        <f t="shared" si="45"/>
        <v>89.795918367346943</v>
      </c>
      <c r="Q730" s="2">
        <f t="shared" si="46"/>
        <v>11928</v>
      </c>
      <c r="R730" s="5" t="str">
        <f t="shared" si="47"/>
        <v>Above Average</v>
      </c>
      <c r="S730" s="5" t="str">
        <f>Table1[[#This Row],[Quarter]]&amp;" - "&amp;Table1[[#This Row],[City]]</f>
        <v>Q4 - Hyderabad</v>
      </c>
    </row>
    <row r="731" spans="1:19" x14ac:dyDescent="0.3">
      <c r="A731" t="s">
        <v>801</v>
      </c>
      <c r="B731" s="1">
        <v>45567</v>
      </c>
      <c r="C731" t="s">
        <v>799</v>
      </c>
      <c r="D731" t="s">
        <v>800</v>
      </c>
      <c r="E731" t="s">
        <v>25</v>
      </c>
      <c r="F731" t="s">
        <v>31</v>
      </c>
      <c r="G731" t="s">
        <v>131</v>
      </c>
      <c r="H731">
        <v>1</v>
      </c>
      <c r="I731">
        <v>4540</v>
      </c>
      <c r="J731">
        <v>20</v>
      </c>
      <c r="K731">
        <v>3632</v>
      </c>
      <c r="L731" t="s">
        <v>66</v>
      </c>
      <c r="M731" s="2">
        <f>Table1[[#This Row],[Revenue_INR]]-Table1[[#This Row],[Price_INR]]</f>
        <v>-908</v>
      </c>
      <c r="N731">
        <f>YEAR(Table1[[#This Row],[Date]])</f>
        <v>2024</v>
      </c>
      <c r="O731" s="2">
        <f t="shared" si="44"/>
        <v>3632</v>
      </c>
      <c r="P731" s="7">
        <f t="shared" si="45"/>
        <v>-25</v>
      </c>
      <c r="Q731" s="2">
        <f t="shared" si="46"/>
        <v>908</v>
      </c>
      <c r="R731" s="5" t="str">
        <f t="shared" si="47"/>
        <v>Below Average</v>
      </c>
      <c r="S731" s="5" t="str">
        <f>Table1[[#This Row],[Quarter]]&amp;" - "&amp;Table1[[#This Row],[City]]</f>
        <v>Q4 - Hyderabad</v>
      </c>
    </row>
    <row r="732" spans="1:19" x14ac:dyDescent="0.3">
      <c r="A732" t="s">
        <v>802</v>
      </c>
      <c r="B732" s="1">
        <v>45567</v>
      </c>
      <c r="C732" t="s">
        <v>799</v>
      </c>
      <c r="D732" t="s">
        <v>800</v>
      </c>
      <c r="E732" t="s">
        <v>25</v>
      </c>
      <c r="F732" t="s">
        <v>47</v>
      </c>
      <c r="G732" t="s">
        <v>48</v>
      </c>
      <c r="H732">
        <v>9</v>
      </c>
      <c r="I732">
        <v>4910</v>
      </c>
      <c r="J732">
        <v>15</v>
      </c>
      <c r="K732">
        <v>37561.5</v>
      </c>
      <c r="L732" t="s">
        <v>66</v>
      </c>
      <c r="M732" s="2">
        <f>Table1[[#This Row],[Revenue_INR]]-Table1[[#This Row],[Price_INR]]</f>
        <v>32651.5</v>
      </c>
      <c r="N732">
        <f>YEAR(Table1[[#This Row],[Date]])</f>
        <v>2024</v>
      </c>
      <c r="O732" s="2">
        <f t="shared" si="44"/>
        <v>4173.5</v>
      </c>
      <c r="P732" s="7">
        <f t="shared" si="45"/>
        <v>86.928104575163403</v>
      </c>
      <c r="Q732" s="2">
        <f t="shared" si="46"/>
        <v>6628.5</v>
      </c>
      <c r="R732" s="5" t="str">
        <f t="shared" si="47"/>
        <v>Above Average</v>
      </c>
      <c r="S732" s="5" t="str">
        <f>Table1[[#This Row],[Quarter]]&amp;" - "&amp;Table1[[#This Row],[City]]</f>
        <v>Q4 - Hyderabad</v>
      </c>
    </row>
    <row r="733" spans="1:19" x14ac:dyDescent="0.3">
      <c r="A733" t="s">
        <v>803</v>
      </c>
      <c r="B733" s="1">
        <v>45568</v>
      </c>
      <c r="C733" t="s">
        <v>799</v>
      </c>
      <c r="D733" t="s">
        <v>800</v>
      </c>
      <c r="E733" t="s">
        <v>20</v>
      </c>
      <c r="F733" t="s">
        <v>60</v>
      </c>
      <c r="G733" t="s">
        <v>124</v>
      </c>
      <c r="H733">
        <v>15</v>
      </c>
      <c r="I733">
        <v>1850</v>
      </c>
      <c r="J733">
        <v>20</v>
      </c>
      <c r="K733">
        <v>22200</v>
      </c>
      <c r="L733" t="s">
        <v>39</v>
      </c>
      <c r="M733" s="2">
        <f>Table1[[#This Row],[Revenue_INR]]-Table1[[#This Row],[Price_INR]]</f>
        <v>20350</v>
      </c>
      <c r="N733">
        <f>YEAR(Table1[[#This Row],[Date]])</f>
        <v>2024</v>
      </c>
      <c r="O733" s="2">
        <f t="shared" si="44"/>
        <v>1480</v>
      </c>
      <c r="P733" s="7">
        <f t="shared" si="45"/>
        <v>91.666666666666657</v>
      </c>
      <c r="Q733" s="2">
        <f t="shared" si="46"/>
        <v>5550</v>
      </c>
      <c r="R733" s="5" t="str">
        <f t="shared" si="47"/>
        <v>Below Average</v>
      </c>
      <c r="S733" s="5" t="str">
        <f>Table1[[#This Row],[Quarter]]&amp;" - "&amp;Table1[[#This Row],[City]]</f>
        <v>Q4 - Mumbai</v>
      </c>
    </row>
    <row r="734" spans="1:19" x14ac:dyDescent="0.3">
      <c r="A734" t="s">
        <v>804</v>
      </c>
      <c r="B734" s="1">
        <v>45568</v>
      </c>
      <c r="C734" t="s">
        <v>799</v>
      </c>
      <c r="D734" t="s">
        <v>800</v>
      </c>
      <c r="E734" t="s">
        <v>25</v>
      </c>
      <c r="F734" t="s">
        <v>21</v>
      </c>
      <c r="G734" t="s">
        <v>75</v>
      </c>
      <c r="H734">
        <v>15</v>
      </c>
      <c r="I734">
        <v>1640</v>
      </c>
      <c r="J734">
        <v>10</v>
      </c>
      <c r="K734">
        <v>22140</v>
      </c>
      <c r="L734" t="s">
        <v>28</v>
      </c>
      <c r="M734" s="2">
        <f>Table1[[#This Row],[Revenue_INR]]-Table1[[#This Row],[Price_INR]]</f>
        <v>20500</v>
      </c>
      <c r="N734">
        <f>YEAR(Table1[[#This Row],[Date]])</f>
        <v>2024</v>
      </c>
      <c r="O734" s="2">
        <f t="shared" si="44"/>
        <v>1476</v>
      </c>
      <c r="P734" s="7">
        <f t="shared" si="45"/>
        <v>92.592592592592595</v>
      </c>
      <c r="Q734" s="2">
        <f t="shared" si="46"/>
        <v>2460</v>
      </c>
      <c r="R734" s="5" t="str">
        <f t="shared" si="47"/>
        <v>Below Average</v>
      </c>
      <c r="S734" s="5" t="str">
        <f>Table1[[#This Row],[Quarter]]&amp;" - "&amp;Table1[[#This Row],[City]]</f>
        <v>Q4 - Hyderabad</v>
      </c>
    </row>
    <row r="735" spans="1:19" x14ac:dyDescent="0.3">
      <c r="A735" t="s">
        <v>805</v>
      </c>
      <c r="B735" s="1">
        <v>45568</v>
      </c>
      <c r="C735" t="s">
        <v>799</v>
      </c>
      <c r="D735" t="s">
        <v>800</v>
      </c>
      <c r="E735" t="s">
        <v>25</v>
      </c>
      <c r="F735" t="s">
        <v>26</v>
      </c>
      <c r="G735" t="s">
        <v>80</v>
      </c>
      <c r="H735">
        <v>3</v>
      </c>
      <c r="I735">
        <v>4690</v>
      </c>
      <c r="J735">
        <v>5</v>
      </c>
      <c r="K735">
        <v>13366.5</v>
      </c>
      <c r="L735" t="s">
        <v>28</v>
      </c>
      <c r="M735" s="2">
        <f>Table1[[#This Row],[Revenue_INR]]-Table1[[#This Row],[Price_INR]]</f>
        <v>8676.5</v>
      </c>
      <c r="N735">
        <f>YEAR(Table1[[#This Row],[Date]])</f>
        <v>2024</v>
      </c>
      <c r="O735" s="2">
        <f t="shared" si="44"/>
        <v>4455.5</v>
      </c>
      <c r="P735" s="7">
        <f t="shared" si="45"/>
        <v>64.912280701754383</v>
      </c>
      <c r="Q735" s="2">
        <f t="shared" si="46"/>
        <v>703.5</v>
      </c>
      <c r="R735" s="5" t="str">
        <f t="shared" si="47"/>
        <v>Below Average</v>
      </c>
      <c r="S735" s="5" t="str">
        <f>Table1[[#This Row],[Quarter]]&amp;" - "&amp;Table1[[#This Row],[City]]</f>
        <v>Q4 - Hyderabad</v>
      </c>
    </row>
    <row r="736" spans="1:19" x14ac:dyDescent="0.3">
      <c r="A736" t="s">
        <v>806</v>
      </c>
      <c r="B736" s="1">
        <v>45568</v>
      </c>
      <c r="C736" t="s">
        <v>799</v>
      </c>
      <c r="D736" t="s">
        <v>800</v>
      </c>
      <c r="E736" t="s">
        <v>34</v>
      </c>
      <c r="F736" t="s">
        <v>47</v>
      </c>
      <c r="G736" t="s">
        <v>48</v>
      </c>
      <c r="H736">
        <v>8</v>
      </c>
      <c r="I736">
        <v>7840</v>
      </c>
      <c r="J736">
        <v>0</v>
      </c>
      <c r="K736">
        <v>62720</v>
      </c>
      <c r="L736" t="s">
        <v>45</v>
      </c>
      <c r="M736" s="2">
        <f>Table1[[#This Row],[Revenue_INR]]-Table1[[#This Row],[Price_INR]]</f>
        <v>54880</v>
      </c>
      <c r="N736">
        <f>YEAR(Table1[[#This Row],[Date]])</f>
        <v>2024</v>
      </c>
      <c r="O736" s="2">
        <f t="shared" si="44"/>
        <v>7840</v>
      </c>
      <c r="P736" s="7">
        <f t="shared" si="45"/>
        <v>87.5</v>
      </c>
      <c r="Q736" s="2">
        <f t="shared" si="46"/>
        <v>0</v>
      </c>
      <c r="R736" s="5" t="str">
        <f t="shared" si="47"/>
        <v>Above Average</v>
      </c>
      <c r="S736" s="5" t="str">
        <f>Table1[[#This Row],[Quarter]]&amp;" - "&amp;Table1[[#This Row],[City]]</f>
        <v>Q4 - Delhi</v>
      </c>
    </row>
    <row r="737" spans="1:19" x14ac:dyDescent="0.3">
      <c r="A737" t="s">
        <v>807</v>
      </c>
      <c r="B737" s="1">
        <v>45568</v>
      </c>
      <c r="C737" t="s">
        <v>799</v>
      </c>
      <c r="D737" t="s">
        <v>800</v>
      </c>
      <c r="E737" t="s">
        <v>34</v>
      </c>
      <c r="F737" t="s">
        <v>21</v>
      </c>
      <c r="G737" t="s">
        <v>22</v>
      </c>
      <c r="H737">
        <v>9</v>
      </c>
      <c r="I737">
        <v>1900</v>
      </c>
      <c r="J737">
        <v>25</v>
      </c>
      <c r="K737">
        <v>12825</v>
      </c>
      <c r="L737" t="s">
        <v>49</v>
      </c>
      <c r="M737" s="2">
        <f>Table1[[#This Row],[Revenue_INR]]-Table1[[#This Row],[Price_INR]]</f>
        <v>10925</v>
      </c>
      <c r="N737">
        <f>YEAR(Table1[[#This Row],[Date]])</f>
        <v>2024</v>
      </c>
      <c r="O737" s="2">
        <f t="shared" si="44"/>
        <v>1425</v>
      </c>
      <c r="P737" s="7">
        <f t="shared" si="45"/>
        <v>85.18518518518519</v>
      </c>
      <c r="Q737" s="2">
        <f t="shared" si="46"/>
        <v>4275</v>
      </c>
      <c r="R737" s="5" t="str">
        <f t="shared" si="47"/>
        <v>Below Average</v>
      </c>
      <c r="S737" s="5" t="str">
        <f>Table1[[#This Row],[Quarter]]&amp;" - "&amp;Table1[[#This Row],[City]]</f>
        <v>Q4 - Delhi</v>
      </c>
    </row>
    <row r="738" spans="1:19" x14ac:dyDescent="0.3">
      <c r="A738" t="s">
        <v>808</v>
      </c>
      <c r="B738" s="1">
        <v>45569</v>
      </c>
      <c r="C738" t="s">
        <v>799</v>
      </c>
      <c r="D738" t="s">
        <v>800</v>
      </c>
      <c r="E738" t="s">
        <v>20</v>
      </c>
      <c r="F738" t="s">
        <v>16</v>
      </c>
      <c r="G738" t="s">
        <v>41</v>
      </c>
      <c r="H738">
        <v>13</v>
      </c>
      <c r="I738">
        <v>1960</v>
      </c>
      <c r="J738">
        <v>30</v>
      </c>
      <c r="K738">
        <v>17836</v>
      </c>
      <c r="L738" t="s">
        <v>39</v>
      </c>
      <c r="M738" s="2">
        <f>Table1[[#This Row],[Revenue_INR]]-Table1[[#This Row],[Price_INR]]</f>
        <v>15876</v>
      </c>
      <c r="N738">
        <f>YEAR(Table1[[#This Row],[Date]])</f>
        <v>2024</v>
      </c>
      <c r="O738" s="2">
        <f t="shared" si="44"/>
        <v>1372</v>
      </c>
      <c r="P738" s="7">
        <f t="shared" si="45"/>
        <v>89.010989010989007</v>
      </c>
      <c r="Q738" s="2">
        <f t="shared" si="46"/>
        <v>7644</v>
      </c>
      <c r="R738" s="5" t="str">
        <f t="shared" si="47"/>
        <v>Below Average</v>
      </c>
      <c r="S738" s="5" t="str">
        <f>Table1[[#This Row],[Quarter]]&amp;" - "&amp;Table1[[#This Row],[City]]</f>
        <v>Q4 - Mumbai</v>
      </c>
    </row>
    <row r="739" spans="1:19" x14ac:dyDescent="0.3">
      <c r="A739" t="s">
        <v>809</v>
      </c>
      <c r="B739" s="1">
        <v>45569</v>
      </c>
      <c r="C739" t="s">
        <v>799</v>
      </c>
      <c r="D739" t="s">
        <v>800</v>
      </c>
      <c r="E739" t="s">
        <v>25</v>
      </c>
      <c r="F739" t="s">
        <v>60</v>
      </c>
      <c r="G739" t="s">
        <v>85</v>
      </c>
      <c r="H739">
        <v>14</v>
      </c>
      <c r="I739">
        <v>1450</v>
      </c>
      <c r="J739">
        <v>10</v>
      </c>
      <c r="K739">
        <v>18270</v>
      </c>
      <c r="L739" t="s">
        <v>28</v>
      </c>
      <c r="M739" s="2">
        <f>Table1[[#This Row],[Revenue_INR]]-Table1[[#This Row],[Price_INR]]</f>
        <v>16820</v>
      </c>
      <c r="N739">
        <f>YEAR(Table1[[#This Row],[Date]])</f>
        <v>2024</v>
      </c>
      <c r="O739" s="2">
        <f t="shared" si="44"/>
        <v>1305</v>
      </c>
      <c r="P739" s="7">
        <f t="shared" si="45"/>
        <v>92.063492063492063</v>
      </c>
      <c r="Q739" s="2">
        <f t="shared" si="46"/>
        <v>2030</v>
      </c>
      <c r="R739" s="5" t="str">
        <f t="shared" si="47"/>
        <v>Below Average</v>
      </c>
      <c r="S739" s="5" t="str">
        <f>Table1[[#This Row],[Quarter]]&amp;" - "&amp;Table1[[#This Row],[City]]</f>
        <v>Q4 - Hyderabad</v>
      </c>
    </row>
    <row r="740" spans="1:19" x14ac:dyDescent="0.3">
      <c r="A740" t="s">
        <v>810</v>
      </c>
      <c r="B740" s="1">
        <v>45569</v>
      </c>
      <c r="C740" t="s">
        <v>799</v>
      </c>
      <c r="D740" t="s">
        <v>800</v>
      </c>
      <c r="E740" t="s">
        <v>25</v>
      </c>
      <c r="F740" t="s">
        <v>21</v>
      </c>
      <c r="G740" t="s">
        <v>75</v>
      </c>
      <c r="H740">
        <v>1</v>
      </c>
      <c r="I740">
        <v>3320</v>
      </c>
      <c r="J740">
        <v>5</v>
      </c>
      <c r="K740">
        <v>3154</v>
      </c>
      <c r="L740" t="s">
        <v>28</v>
      </c>
      <c r="M740" s="2">
        <f>Table1[[#This Row],[Revenue_INR]]-Table1[[#This Row],[Price_INR]]</f>
        <v>-166</v>
      </c>
      <c r="N740">
        <f>YEAR(Table1[[#This Row],[Date]])</f>
        <v>2024</v>
      </c>
      <c r="O740" s="2">
        <f t="shared" si="44"/>
        <v>3154</v>
      </c>
      <c r="P740" s="7">
        <f t="shared" si="45"/>
        <v>-5.2631578947368416</v>
      </c>
      <c r="Q740" s="2">
        <f t="shared" si="46"/>
        <v>166</v>
      </c>
      <c r="R740" s="5" t="str">
        <f t="shared" si="47"/>
        <v>Below Average</v>
      </c>
      <c r="S740" s="5" t="str">
        <f>Table1[[#This Row],[Quarter]]&amp;" - "&amp;Table1[[#This Row],[City]]</f>
        <v>Q4 - Hyderabad</v>
      </c>
    </row>
    <row r="741" spans="1:19" x14ac:dyDescent="0.3">
      <c r="A741" t="s">
        <v>811</v>
      </c>
      <c r="B741" s="1">
        <v>45569</v>
      </c>
      <c r="C741" t="s">
        <v>799</v>
      </c>
      <c r="D741" t="s">
        <v>800</v>
      </c>
      <c r="E741" t="s">
        <v>20</v>
      </c>
      <c r="F741" t="s">
        <v>21</v>
      </c>
      <c r="G741" t="s">
        <v>75</v>
      </c>
      <c r="H741">
        <v>6</v>
      </c>
      <c r="I741">
        <v>1030</v>
      </c>
      <c r="J741">
        <v>30</v>
      </c>
      <c r="K741">
        <v>4326</v>
      </c>
      <c r="L741" t="s">
        <v>23</v>
      </c>
      <c r="M741" s="2">
        <f>Table1[[#This Row],[Revenue_INR]]-Table1[[#This Row],[Price_INR]]</f>
        <v>3296</v>
      </c>
      <c r="N741">
        <f>YEAR(Table1[[#This Row],[Date]])</f>
        <v>2024</v>
      </c>
      <c r="O741" s="2">
        <f t="shared" si="44"/>
        <v>721</v>
      </c>
      <c r="P741" s="7">
        <f t="shared" si="45"/>
        <v>76.19047619047619</v>
      </c>
      <c r="Q741" s="2">
        <f t="shared" si="46"/>
        <v>1854</v>
      </c>
      <c r="R741" s="5" t="str">
        <f t="shared" si="47"/>
        <v>Below Average</v>
      </c>
      <c r="S741" s="5" t="str">
        <f>Table1[[#This Row],[Quarter]]&amp;" - "&amp;Table1[[#This Row],[City]]</f>
        <v>Q4 - Mumbai</v>
      </c>
    </row>
    <row r="742" spans="1:19" x14ac:dyDescent="0.3">
      <c r="A742" t="s">
        <v>812</v>
      </c>
      <c r="B742" s="1">
        <v>45569</v>
      </c>
      <c r="C742" t="s">
        <v>799</v>
      </c>
      <c r="D742" t="s">
        <v>800</v>
      </c>
      <c r="E742" t="s">
        <v>34</v>
      </c>
      <c r="F742" t="s">
        <v>47</v>
      </c>
      <c r="G742" t="s">
        <v>51</v>
      </c>
      <c r="H742">
        <v>3</v>
      </c>
      <c r="I742">
        <v>3450</v>
      </c>
      <c r="J742">
        <v>20</v>
      </c>
      <c r="K742">
        <v>8280</v>
      </c>
      <c r="L742" t="s">
        <v>36</v>
      </c>
      <c r="M742" s="2">
        <f>Table1[[#This Row],[Revenue_INR]]-Table1[[#This Row],[Price_INR]]</f>
        <v>4830</v>
      </c>
      <c r="N742">
        <f>YEAR(Table1[[#This Row],[Date]])</f>
        <v>2024</v>
      </c>
      <c r="O742" s="2">
        <f t="shared" si="44"/>
        <v>2760</v>
      </c>
      <c r="P742" s="7">
        <f t="shared" si="45"/>
        <v>58.333333333333336</v>
      </c>
      <c r="Q742" s="2">
        <f t="shared" si="46"/>
        <v>2070</v>
      </c>
      <c r="R742" s="5" t="str">
        <f t="shared" si="47"/>
        <v>Below Average</v>
      </c>
      <c r="S742" s="5" t="str">
        <f>Table1[[#This Row],[Quarter]]&amp;" - "&amp;Table1[[#This Row],[City]]</f>
        <v>Q4 - Delhi</v>
      </c>
    </row>
    <row r="743" spans="1:19" x14ac:dyDescent="0.3">
      <c r="A743" t="s">
        <v>813</v>
      </c>
      <c r="B743" s="1">
        <v>45570</v>
      </c>
      <c r="C743" t="s">
        <v>799</v>
      </c>
      <c r="D743" t="s">
        <v>800</v>
      </c>
      <c r="E743" t="s">
        <v>25</v>
      </c>
      <c r="F743" t="s">
        <v>60</v>
      </c>
      <c r="G743" t="s">
        <v>61</v>
      </c>
      <c r="H743">
        <v>8</v>
      </c>
      <c r="I743">
        <v>2460</v>
      </c>
      <c r="J743">
        <v>25</v>
      </c>
      <c r="K743">
        <v>14760</v>
      </c>
      <c r="L743" t="s">
        <v>28</v>
      </c>
      <c r="M743" s="2">
        <f>Table1[[#This Row],[Revenue_INR]]-Table1[[#This Row],[Price_INR]]</f>
        <v>12300</v>
      </c>
      <c r="N743">
        <f>YEAR(Table1[[#This Row],[Date]])</f>
        <v>2024</v>
      </c>
      <c r="O743" s="2">
        <f t="shared" si="44"/>
        <v>1845</v>
      </c>
      <c r="P743" s="7">
        <f t="shared" si="45"/>
        <v>83.333333333333343</v>
      </c>
      <c r="Q743" s="2">
        <f t="shared" si="46"/>
        <v>4920</v>
      </c>
      <c r="R743" s="5" t="str">
        <f t="shared" si="47"/>
        <v>Below Average</v>
      </c>
      <c r="S743" s="5" t="str">
        <f>Table1[[#This Row],[Quarter]]&amp;" - "&amp;Table1[[#This Row],[City]]</f>
        <v>Q4 - Hyderabad</v>
      </c>
    </row>
    <row r="744" spans="1:19" x14ac:dyDescent="0.3">
      <c r="A744" t="s">
        <v>814</v>
      </c>
      <c r="B744" s="1">
        <v>45570</v>
      </c>
      <c r="C744" t="s">
        <v>799</v>
      </c>
      <c r="D744" t="s">
        <v>800</v>
      </c>
      <c r="E744" t="s">
        <v>15</v>
      </c>
      <c r="F744" t="s">
        <v>31</v>
      </c>
      <c r="G744" t="s">
        <v>131</v>
      </c>
      <c r="H744">
        <v>11</v>
      </c>
      <c r="I744">
        <v>5620</v>
      </c>
      <c r="J744">
        <v>10</v>
      </c>
      <c r="K744">
        <v>55638</v>
      </c>
      <c r="L744" t="s">
        <v>18</v>
      </c>
      <c r="M744" s="2">
        <f>Table1[[#This Row],[Revenue_INR]]-Table1[[#This Row],[Price_INR]]</f>
        <v>50018</v>
      </c>
      <c r="N744">
        <f>YEAR(Table1[[#This Row],[Date]])</f>
        <v>2024</v>
      </c>
      <c r="O744" s="2">
        <f t="shared" si="44"/>
        <v>5058</v>
      </c>
      <c r="P744" s="7">
        <f t="shared" si="45"/>
        <v>89.898989898989896</v>
      </c>
      <c r="Q744" s="2">
        <f t="shared" si="46"/>
        <v>6182</v>
      </c>
      <c r="R744" s="5" t="str">
        <f t="shared" si="47"/>
        <v>Above Average</v>
      </c>
      <c r="S744" s="5" t="str">
        <f>Table1[[#This Row],[Quarter]]&amp;" - "&amp;Table1[[#This Row],[City]]</f>
        <v>Q4 - Kolkata</v>
      </c>
    </row>
    <row r="745" spans="1:19" x14ac:dyDescent="0.3">
      <c r="A745" t="s">
        <v>815</v>
      </c>
      <c r="B745" s="1">
        <v>45570</v>
      </c>
      <c r="C745" t="s">
        <v>799</v>
      </c>
      <c r="D745" t="s">
        <v>800</v>
      </c>
      <c r="E745" t="s">
        <v>25</v>
      </c>
      <c r="F745" t="s">
        <v>26</v>
      </c>
      <c r="G745" t="s">
        <v>80</v>
      </c>
      <c r="H745">
        <v>3</v>
      </c>
      <c r="I745">
        <v>10540</v>
      </c>
      <c r="J745">
        <v>15</v>
      </c>
      <c r="K745">
        <v>26877</v>
      </c>
      <c r="L745" t="s">
        <v>66</v>
      </c>
      <c r="M745" s="2">
        <f>Table1[[#This Row],[Revenue_INR]]-Table1[[#This Row],[Price_INR]]</f>
        <v>16337</v>
      </c>
      <c r="N745">
        <f>YEAR(Table1[[#This Row],[Date]])</f>
        <v>2024</v>
      </c>
      <c r="O745" s="2">
        <f t="shared" si="44"/>
        <v>8959</v>
      </c>
      <c r="P745" s="7">
        <f t="shared" si="45"/>
        <v>60.784313725490193</v>
      </c>
      <c r="Q745" s="2">
        <f t="shared" si="46"/>
        <v>4743</v>
      </c>
      <c r="R745" s="5" t="str">
        <f t="shared" si="47"/>
        <v>Above Average</v>
      </c>
      <c r="S745" s="5" t="str">
        <f>Table1[[#This Row],[Quarter]]&amp;" - "&amp;Table1[[#This Row],[City]]</f>
        <v>Q4 - Hyderabad</v>
      </c>
    </row>
    <row r="746" spans="1:19" x14ac:dyDescent="0.3">
      <c r="A746" t="s">
        <v>816</v>
      </c>
      <c r="B746" s="1">
        <v>45571</v>
      </c>
      <c r="C746" t="s">
        <v>799</v>
      </c>
      <c r="D746" t="s">
        <v>800</v>
      </c>
      <c r="E746" t="s">
        <v>20</v>
      </c>
      <c r="F746" t="s">
        <v>31</v>
      </c>
      <c r="G746" t="s">
        <v>32</v>
      </c>
      <c r="H746">
        <v>4</v>
      </c>
      <c r="I746">
        <v>4700</v>
      </c>
      <c r="J746">
        <v>5</v>
      </c>
      <c r="K746">
        <v>17860</v>
      </c>
      <c r="L746" t="s">
        <v>77</v>
      </c>
      <c r="M746" s="2">
        <f>Table1[[#This Row],[Revenue_INR]]-Table1[[#This Row],[Price_INR]]</f>
        <v>13160</v>
      </c>
      <c r="N746">
        <f>YEAR(Table1[[#This Row],[Date]])</f>
        <v>2024</v>
      </c>
      <c r="O746" s="2">
        <f t="shared" si="44"/>
        <v>4465</v>
      </c>
      <c r="P746" s="7">
        <f t="shared" si="45"/>
        <v>73.68421052631578</v>
      </c>
      <c r="Q746" s="2">
        <f t="shared" si="46"/>
        <v>940</v>
      </c>
      <c r="R746" s="5" t="str">
        <f t="shared" si="47"/>
        <v>Below Average</v>
      </c>
      <c r="S746" s="5" t="str">
        <f>Table1[[#This Row],[Quarter]]&amp;" - "&amp;Table1[[#This Row],[City]]</f>
        <v>Q4 - Mumbai</v>
      </c>
    </row>
    <row r="747" spans="1:19" x14ac:dyDescent="0.3">
      <c r="A747" t="s">
        <v>817</v>
      </c>
      <c r="B747" s="1">
        <v>45572</v>
      </c>
      <c r="C747" t="s">
        <v>799</v>
      </c>
      <c r="D747" t="s">
        <v>800</v>
      </c>
      <c r="E747" t="s">
        <v>20</v>
      </c>
      <c r="F747" t="s">
        <v>60</v>
      </c>
      <c r="G747" t="s">
        <v>61</v>
      </c>
      <c r="H747">
        <v>7</v>
      </c>
      <c r="I747">
        <v>1390</v>
      </c>
      <c r="J747">
        <v>0</v>
      </c>
      <c r="K747">
        <v>9730</v>
      </c>
      <c r="L747" t="s">
        <v>23</v>
      </c>
      <c r="M747" s="2">
        <f>Table1[[#This Row],[Revenue_INR]]-Table1[[#This Row],[Price_INR]]</f>
        <v>8340</v>
      </c>
      <c r="N747">
        <f>YEAR(Table1[[#This Row],[Date]])</f>
        <v>2024</v>
      </c>
      <c r="O747" s="2">
        <f t="shared" si="44"/>
        <v>1390</v>
      </c>
      <c r="P747" s="7">
        <f t="shared" si="45"/>
        <v>85.714285714285708</v>
      </c>
      <c r="Q747" s="2">
        <f t="shared" si="46"/>
        <v>0</v>
      </c>
      <c r="R747" s="5" t="str">
        <f t="shared" si="47"/>
        <v>Below Average</v>
      </c>
      <c r="S747" s="5" t="str">
        <f>Table1[[#This Row],[Quarter]]&amp;" - "&amp;Table1[[#This Row],[City]]</f>
        <v>Q4 - Mumbai</v>
      </c>
    </row>
    <row r="748" spans="1:19" x14ac:dyDescent="0.3">
      <c r="A748" t="s">
        <v>818</v>
      </c>
      <c r="B748" s="1">
        <v>45572</v>
      </c>
      <c r="C748" t="s">
        <v>799</v>
      </c>
      <c r="D748" t="s">
        <v>800</v>
      </c>
      <c r="E748" t="s">
        <v>15</v>
      </c>
      <c r="F748" t="s">
        <v>47</v>
      </c>
      <c r="G748" t="s">
        <v>55</v>
      </c>
      <c r="H748">
        <v>1</v>
      </c>
      <c r="I748">
        <v>6210</v>
      </c>
      <c r="J748">
        <v>5</v>
      </c>
      <c r="K748">
        <v>5899.5</v>
      </c>
      <c r="L748" t="s">
        <v>53</v>
      </c>
      <c r="M748" s="2">
        <f>Table1[[#This Row],[Revenue_INR]]-Table1[[#This Row],[Price_INR]]</f>
        <v>-310.5</v>
      </c>
      <c r="N748">
        <f>YEAR(Table1[[#This Row],[Date]])</f>
        <v>2024</v>
      </c>
      <c r="O748" s="2">
        <f t="shared" si="44"/>
        <v>5899.5</v>
      </c>
      <c r="P748" s="7">
        <f t="shared" si="45"/>
        <v>-5.2631578947368416</v>
      </c>
      <c r="Q748" s="2">
        <f t="shared" si="46"/>
        <v>310.5</v>
      </c>
      <c r="R748" s="5" t="str">
        <f t="shared" si="47"/>
        <v>Below Average</v>
      </c>
      <c r="S748" s="5" t="str">
        <f>Table1[[#This Row],[Quarter]]&amp;" - "&amp;Table1[[#This Row],[City]]</f>
        <v>Q4 - Kolkata</v>
      </c>
    </row>
    <row r="749" spans="1:19" x14ac:dyDescent="0.3">
      <c r="A749" t="s">
        <v>819</v>
      </c>
      <c r="B749" s="1">
        <v>45572</v>
      </c>
      <c r="C749" t="s">
        <v>799</v>
      </c>
      <c r="D749" t="s">
        <v>800</v>
      </c>
      <c r="E749" t="s">
        <v>20</v>
      </c>
      <c r="F749" t="s">
        <v>31</v>
      </c>
      <c r="G749" t="s">
        <v>38</v>
      </c>
      <c r="H749">
        <v>13</v>
      </c>
      <c r="I749">
        <v>5150</v>
      </c>
      <c r="J749">
        <v>10</v>
      </c>
      <c r="K749">
        <v>60255</v>
      </c>
      <c r="L749" t="s">
        <v>77</v>
      </c>
      <c r="M749" s="2">
        <f>Table1[[#This Row],[Revenue_INR]]-Table1[[#This Row],[Price_INR]]</f>
        <v>55105</v>
      </c>
      <c r="N749">
        <f>YEAR(Table1[[#This Row],[Date]])</f>
        <v>2024</v>
      </c>
      <c r="O749" s="2">
        <f t="shared" si="44"/>
        <v>4635</v>
      </c>
      <c r="P749" s="7">
        <f t="shared" si="45"/>
        <v>91.452991452991455</v>
      </c>
      <c r="Q749" s="2">
        <f t="shared" si="46"/>
        <v>6695</v>
      </c>
      <c r="R749" s="5" t="str">
        <f t="shared" si="47"/>
        <v>Above Average</v>
      </c>
      <c r="S749" s="5" t="str">
        <f>Table1[[#This Row],[Quarter]]&amp;" - "&amp;Table1[[#This Row],[City]]</f>
        <v>Q4 - Mumbai</v>
      </c>
    </row>
    <row r="750" spans="1:19" x14ac:dyDescent="0.3">
      <c r="A750" t="s">
        <v>820</v>
      </c>
      <c r="B750" s="1">
        <v>45572</v>
      </c>
      <c r="C750" t="s">
        <v>799</v>
      </c>
      <c r="D750" t="s">
        <v>800</v>
      </c>
      <c r="E750" t="s">
        <v>20</v>
      </c>
      <c r="F750" t="s">
        <v>47</v>
      </c>
      <c r="G750" t="s">
        <v>48</v>
      </c>
      <c r="H750">
        <v>13</v>
      </c>
      <c r="I750">
        <v>6180</v>
      </c>
      <c r="J750">
        <v>0</v>
      </c>
      <c r="K750">
        <v>80340</v>
      </c>
      <c r="L750" t="s">
        <v>23</v>
      </c>
      <c r="M750" s="2">
        <f>Table1[[#This Row],[Revenue_INR]]-Table1[[#This Row],[Price_INR]]</f>
        <v>74160</v>
      </c>
      <c r="N750">
        <f>YEAR(Table1[[#This Row],[Date]])</f>
        <v>2024</v>
      </c>
      <c r="O750" s="2">
        <f t="shared" si="44"/>
        <v>6180</v>
      </c>
      <c r="P750" s="7">
        <f t="shared" si="45"/>
        <v>92.307692307692307</v>
      </c>
      <c r="Q750" s="2">
        <f t="shared" si="46"/>
        <v>0</v>
      </c>
      <c r="R750" s="5" t="str">
        <f t="shared" si="47"/>
        <v>Above Average</v>
      </c>
      <c r="S750" s="5" t="str">
        <f>Table1[[#This Row],[Quarter]]&amp;" - "&amp;Table1[[#This Row],[City]]</f>
        <v>Q4 - Mumbai</v>
      </c>
    </row>
    <row r="751" spans="1:19" x14ac:dyDescent="0.3">
      <c r="A751" t="s">
        <v>821</v>
      </c>
      <c r="B751" s="1">
        <v>45573</v>
      </c>
      <c r="C751" t="s">
        <v>799</v>
      </c>
      <c r="D751" t="s">
        <v>800</v>
      </c>
      <c r="E751" t="s">
        <v>15</v>
      </c>
      <c r="F751" t="s">
        <v>16</v>
      </c>
      <c r="G751" t="s">
        <v>41</v>
      </c>
      <c r="H751">
        <v>7</v>
      </c>
      <c r="I751">
        <v>1080</v>
      </c>
      <c r="J751">
        <v>30</v>
      </c>
      <c r="K751">
        <v>5292</v>
      </c>
      <c r="L751" t="s">
        <v>92</v>
      </c>
      <c r="M751" s="2">
        <f>Table1[[#This Row],[Revenue_INR]]-Table1[[#This Row],[Price_INR]]</f>
        <v>4212</v>
      </c>
      <c r="N751">
        <f>YEAR(Table1[[#This Row],[Date]])</f>
        <v>2024</v>
      </c>
      <c r="O751" s="2">
        <f t="shared" si="44"/>
        <v>756</v>
      </c>
      <c r="P751" s="7">
        <f t="shared" si="45"/>
        <v>79.591836734693871</v>
      </c>
      <c r="Q751" s="2">
        <f t="shared" si="46"/>
        <v>2268</v>
      </c>
      <c r="R751" s="5" t="str">
        <f t="shared" si="47"/>
        <v>Below Average</v>
      </c>
      <c r="S751" s="5" t="str">
        <f>Table1[[#This Row],[Quarter]]&amp;" - "&amp;Table1[[#This Row],[City]]</f>
        <v>Q4 - Kolkata</v>
      </c>
    </row>
    <row r="752" spans="1:19" x14ac:dyDescent="0.3">
      <c r="A752" t="s">
        <v>822</v>
      </c>
      <c r="B752" s="1">
        <v>45573</v>
      </c>
      <c r="C752" t="s">
        <v>799</v>
      </c>
      <c r="D752" t="s">
        <v>800</v>
      </c>
      <c r="E752" t="s">
        <v>34</v>
      </c>
      <c r="F752" t="s">
        <v>31</v>
      </c>
      <c r="G752" t="s">
        <v>32</v>
      </c>
      <c r="H752">
        <v>7</v>
      </c>
      <c r="I752">
        <v>1480</v>
      </c>
      <c r="J752">
        <v>20</v>
      </c>
      <c r="K752">
        <v>8288</v>
      </c>
      <c r="L752" t="s">
        <v>49</v>
      </c>
      <c r="M752" s="2">
        <f>Table1[[#This Row],[Revenue_INR]]-Table1[[#This Row],[Price_INR]]</f>
        <v>6808</v>
      </c>
      <c r="N752">
        <f>YEAR(Table1[[#This Row],[Date]])</f>
        <v>2024</v>
      </c>
      <c r="O752" s="2">
        <f t="shared" si="44"/>
        <v>1184</v>
      </c>
      <c r="P752" s="7">
        <f t="shared" si="45"/>
        <v>82.142857142857139</v>
      </c>
      <c r="Q752" s="2">
        <f t="shared" si="46"/>
        <v>2072</v>
      </c>
      <c r="R752" s="5" t="str">
        <f t="shared" si="47"/>
        <v>Below Average</v>
      </c>
      <c r="S752" s="5" t="str">
        <f>Table1[[#This Row],[Quarter]]&amp;" - "&amp;Table1[[#This Row],[City]]</f>
        <v>Q4 - Delhi</v>
      </c>
    </row>
    <row r="753" spans="1:19" x14ac:dyDescent="0.3">
      <c r="A753" t="s">
        <v>823</v>
      </c>
      <c r="B753" s="1">
        <v>45573</v>
      </c>
      <c r="C753" t="s">
        <v>799</v>
      </c>
      <c r="D753" t="s">
        <v>800</v>
      </c>
      <c r="E753" t="s">
        <v>34</v>
      </c>
      <c r="F753" t="s">
        <v>31</v>
      </c>
      <c r="G753" t="s">
        <v>32</v>
      </c>
      <c r="H753">
        <v>1</v>
      </c>
      <c r="I753">
        <v>4140</v>
      </c>
      <c r="J753">
        <v>25</v>
      </c>
      <c r="K753">
        <v>3105</v>
      </c>
      <c r="L753" t="s">
        <v>36</v>
      </c>
      <c r="M753" s="2">
        <f>Table1[[#This Row],[Revenue_INR]]-Table1[[#This Row],[Price_INR]]</f>
        <v>-1035</v>
      </c>
      <c r="N753">
        <f>YEAR(Table1[[#This Row],[Date]])</f>
        <v>2024</v>
      </c>
      <c r="O753" s="2">
        <f t="shared" si="44"/>
        <v>3105</v>
      </c>
      <c r="P753" s="7">
        <f t="shared" si="45"/>
        <v>-33.333333333333329</v>
      </c>
      <c r="Q753" s="2">
        <f t="shared" si="46"/>
        <v>1035</v>
      </c>
      <c r="R753" s="5" t="str">
        <f t="shared" si="47"/>
        <v>Below Average</v>
      </c>
      <c r="S753" s="5" t="str">
        <f>Table1[[#This Row],[Quarter]]&amp;" - "&amp;Table1[[#This Row],[City]]</f>
        <v>Q4 - Delhi</v>
      </c>
    </row>
    <row r="754" spans="1:19" x14ac:dyDescent="0.3">
      <c r="A754" t="s">
        <v>824</v>
      </c>
      <c r="B754" s="1">
        <v>45573</v>
      </c>
      <c r="C754" t="s">
        <v>799</v>
      </c>
      <c r="D754" t="s">
        <v>800</v>
      </c>
      <c r="E754" t="s">
        <v>34</v>
      </c>
      <c r="F754" t="s">
        <v>26</v>
      </c>
      <c r="G754" t="s">
        <v>27</v>
      </c>
      <c r="H754">
        <v>9</v>
      </c>
      <c r="I754">
        <v>2340</v>
      </c>
      <c r="J754">
        <v>15</v>
      </c>
      <c r="K754">
        <v>17901</v>
      </c>
      <c r="L754" t="s">
        <v>49</v>
      </c>
      <c r="M754" s="2">
        <f>Table1[[#This Row],[Revenue_INR]]-Table1[[#This Row],[Price_INR]]</f>
        <v>15561</v>
      </c>
      <c r="N754">
        <f>YEAR(Table1[[#This Row],[Date]])</f>
        <v>2024</v>
      </c>
      <c r="O754" s="2">
        <f t="shared" si="44"/>
        <v>1989</v>
      </c>
      <c r="P754" s="7">
        <f t="shared" si="45"/>
        <v>86.928104575163403</v>
      </c>
      <c r="Q754" s="2">
        <f t="shared" si="46"/>
        <v>3159</v>
      </c>
      <c r="R754" s="5" t="str">
        <f t="shared" si="47"/>
        <v>Below Average</v>
      </c>
      <c r="S754" s="5" t="str">
        <f>Table1[[#This Row],[Quarter]]&amp;" - "&amp;Table1[[#This Row],[City]]</f>
        <v>Q4 - Delhi</v>
      </c>
    </row>
    <row r="755" spans="1:19" x14ac:dyDescent="0.3">
      <c r="A755" t="s">
        <v>825</v>
      </c>
      <c r="B755" s="1">
        <v>45573</v>
      </c>
      <c r="C755" t="s">
        <v>799</v>
      </c>
      <c r="D755" t="s">
        <v>800</v>
      </c>
      <c r="E755" t="s">
        <v>34</v>
      </c>
      <c r="F755" t="s">
        <v>26</v>
      </c>
      <c r="G755" t="s">
        <v>82</v>
      </c>
      <c r="H755">
        <v>4</v>
      </c>
      <c r="I755">
        <v>7980</v>
      </c>
      <c r="J755">
        <v>15</v>
      </c>
      <c r="K755">
        <v>27132</v>
      </c>
      <c r="L755" t="s">
        <v>36</v>
      </c>
      <c r="M755" s="2">
        <f>Table1[[#This Row],[Revenue_INR]]-Table1[[#This Row],[Price_INR]]</f>
        <v>19152</v>
      </c>
      <c r="N755">
        <f>YEAR(Table1[[#This Row],[Date]])</f>
        <v>2024</v>
      </c>
      <c r="O755" s="2">
        <f t="shared" si="44"/>
        <v>6783</v>
      </c>
      <c r="P755" s="7">
        <f t="shared" si="45"/>
        <v>70.588235294117652</v>
      </c>
      <c r="Q755" s="2">
        <f t="shared" si="46"/>
        <v>4788</v>
      </c>
      <c r="R755" s="5" t="str">
        <f t="shared" si="47"/>
        <v>Above Average</v>
      </c>
      <c r="S755" s="5" t="str">
        <f>Table1[[#This Row],[Quarter]]&amp;" - "&amp;Table1[[#This Row],[City]]</f>
        <v>Q4 - Delhi</v>
      </c>
    </row>
    <row r="756" spans="1:19" x14ac:dyDescent="0.3">
      <c r="A756" t="s">
        <v>826</v>
      </c>
      <c r="B756" s="1">
        <v>45573</v>
      </c>
      <c r="C756" t="s">
        <v>799</v>
      </c>
      <c r="D756" t="s">
        <v>800</v>
      </c>
      <c r="E756" t="s">
        <v>15</v>
      </c>
      <c r="F756" t="s">
        <v>16</v>
      </c>
      <c r="G756" t="s">
        <v>41</v>
      </c>
      <c r="H756">
        <v>4</v>
      </c>
      <c r="I756">
        <v>2350</v>
      </c>
      <c r="J756">
        <v>10</v>
      </c>
      <c r="K756">
        <v>8460</v>
      </c>
      <c r="L756" t="s">
        <v>92</v>
      </c>
      <c r="M756" s="2">
        <f>Table1[[#This Row],[Revenue_INR]]-Table1[[#This Row],[Price_INR]]</f>
        <v>6110</v>
      </c>
      <c r="N756">
        <f>YEAR(Table1[[#This Row],[Date]])</f>
        <v>2024</v>
      </c>
      <c r="O756" s="2">
        <f t="shared" si="44"/>
        <v>2115</v>
      </c>
      <c r="P756" s="7">
        <f t="shared" si="45"/>
        <v>72.222222222222214</v>
      </c>
      <c r="Q756" s="2">
        <f t="shared" si="46"/>
        <v>940</v>
      </c>
      <c r="R756" s="5" t="str">
        <f t="shared" si="47"/>
        <v>Below Average</v>
      </c>
      <c r="S756" s="5" t="str">
        <f>Table1[[#This Row],[Quarter]]&amp;" - "&amp;Table1[[#This Row],[City]]</f>
        <v>Q4 - Kolkata</v>
      </c>
    </row>
    <row r="757" spans="1:19" x14ac:dyDescent="0.3">
      <c r="A757" t="s">
        <v>827</v>
      </c>
      <c r="B757" s="1">
        <v>45574</v>
      </c>
      <c r="C757" t="s">
        <v>799</v>
      </c>
      <c r="D757" t="s">
        <v>800</v>
      </c>
      <c r="E757" t="s">
        <v>34</v>
      </c>
      <c r="F757" t="s">
        <v>47</v>
      </c>
      <c r="G757" t="s">
        <v>102</v>
      </c>
      <c r="H757">
        <v>4</v>
      </c>
      <c r="I757">
        <v>8860</v>
      </c>
      <c r="J757">
        <v>15</v>
      </c>
      <c r="K757">
        <v>30124</v>
      </c>
      <c r="L757" t="s">
        <v>45</v>
      </c>
      <c r="M757" s="2">
        <f>Table1[[#This Row],[Revenue_INR]]-Table1[[#This Row],[Price_INR]]</f>
        <v>21264</v>
      </c>
      <c r="N757">
        <f>YEAR(Table1[[#This Row],[Date]])</f>
        <v>2024</v>
      </c>
      <c r="O757" s="2">
        <f t="shared" si="44"/>
        <v>7531</v>
      </c>
      <c r="P757" s="7">
        <f t="shared" si="45"/>
        <v>70.588235294117652</v>
      </c>
      <c r="Q757" s="2">
        <f t="shared" si="46"/>
        <v>5316</v>
      </c>
      <c r="R757" s="5" t="str">
        <f t="shared" si="47"/>
        <v>Above Average</v>
      </c>
      <c r="S757" s="5" t="str">
        <f>Table1[[#This Row],[Quarter]]&amp;" - "&amp;Table1[[#This Row],[City]]</f>
        <v>Q4 - Delhi</v>
      </c>
    </row>
    <row r="758" spans="1:19" x14ac:dyDescent="0.3">
      <c r="A758" t="s">
        <v>828</v>
      </c>
      <c r="B758" s="1">
        <v>45574</v>
      </c>
      <c r="C758" t="s">
        <v>799</v>
      </c>
      <c r="D758" t="s">
        <v>800</v>
      </c>
      <c r="E758" t="s">
        <v>15</v>
      </c>
      <c r="F758" t="s">
        <v>21</v>
      </c>
      <c r="G758" t="s">
        <v>71</v>
      </c>
      <c r="H758">
        <v>6</v>
      </c>
      <c r="I758">
        <v>2250</v>
      </c>
      <c r="J758">
        <v>10</v>
      </c>
      <c r="K758">
        <v>12150</v>
      </c>
      <c r="L758" t="s">
        <v>18</v>
      </c>
      <c r="M758" s="2">
        <f>Table1[[#This Row],[Revenue_INR]]-Table1[[#This Row],[Price_INR]]</f>
        <v>9900</v>
      </c>
      <c r="N758">
        <f>YEAR(Table1[[#This Row],[Date]])</f>
        <v>2024</v>
      </c>
      <c r="O758" s="2">
        <f t="shared" si="44"/>
        <v>2025</v>
      </c>
      <c r="P758" s="7">
        <f t="shared" si="45"/>
        <v>81.481481481481481</v>
      </c>
      <c r="Q758" s="2">
        <f t="shared" si="46"/>
        <v>1350</v>
      </c>
      <c r="R758" s="5" t="str">
        <f t="shared" si="47"/>
        <v>Below Average</v>
      </c>
      <c r="S758" s="5" t="str">
        <f>Table1[[#This Row],[Quarter]]&amp;" - "&amp;Table1[[#This Row],[City]]</f>
        <v>Q4 - Kolkata</v>
      </c>
    </row>
    <row r="759" spans="1:19" x14ac:dyDescent="0.3">
      <c r="A759" t="s">
        <v>829</v>
      </c>
      <c r="B759" s="1">
        <v>45574</v>
      </c>
      <c r="C759" t="s">
        <v>799</v>
      </c>
      <c r="D759" t="s">
        <v>800</v>
      </c>
      <c r="E759" t="s">
        <v>15</v>
      </c>
      <c r="F759" t="s">
        <v>16</v>
      </c>
      <c r="G759" t="s">
        <v>17</v>
      </c>
      <c r="H759">
        <v>14</v>
      </c>
      <c r="I759">
        <v>650</v>
      </c>
      <c r="J759">
        <v>30</v>
      </c>
      <c r="K759">
        <v>6370</v>
      </c>
      <c r="L759" t="s">
        <v>18</v>
      </c>
      <c r="M759" s="2">
        <f>Table1[[#This Row],[Revenue_INR]]-Table1[[#This Row],[Price_INR]]</f>
        <v>5720</v>
      </c>
      <c r="N759">
        <f>YEAR(Table1[[#This Row],[Date]])</f>
        <v>2024</v>
      </c>
      <c r="O759" s="2">
        <f t="shared" si="44"/>
        <v>455</v>
      </c>
      <c r="P759" s="7">
        <f t="shared" si="45"/>
        <v>89.795918367346943</v>
      </c>
      <c r="Q759" s="2">
        <f t="shared" si="46"/>
        <v>2730</v>
      </c>
      <c r="R759" s="5" t="str">
        <f t="shared" si="47"/>
        <v>Below Average</v>
      </c>
      <c r="S759" s="5" t="str">
        <f>Table1[[#This Row],[Quarter]]&amp;" - "&amp;Table1[[#This Row],[City]]</f>
        <v>Q4 - Kolkata</v>
      </c>
    </row>
    <row r="760" spans="1:19" x14ac:dyDescent="0.3">
      <c r="A760" t="s">
        <v>830</v>
      </c>
      <c r="B760" s="1">
        <v>45574</v>
      </c>
      <c r="C760" t="s">
        <v>799</v>
      </c>
      <c r="D760" t="s">
        <v>800</v>
      </c>
      <c r="E760" t="s">
        <v>15</v>
      </c>
      <c r="F760" t="s">
        <v>26</v>
      </c>
      <c r="G760" t="s">
        <v>80</v>
      </c>
      <c r="H760">
        <v>7</v>
      </c>
      <c r="I760">
        <v>12690</v>
      </c>
      <c r="J760">
        <v>0</v>
      </c>
      <c r="K760">
        <v>88830</v>
      </c>
      <c r="L760" t="s">
        <v>53</v>
      </c>
      <c r="M760" s="2">
        <f>Table1[[#This Row],[Revenue_INR]]-Table1[[#This Row],[Price_INR]]</f>
        <v>76140</v>
      </c>
      <c r="N760">
        <f>YEAR(Table1[[#This Row],[Date]])</f>
        <v>2024</v>
      </c>
      <c r="O760" s="2">
        <f t="shared" si="44"/>
        <v>12690</v>
      </c>
      <c r="P760" s="7">
        <f t="shared" si="45"/>
        <v>85.714285714285708</v>
      </c>
      <c r="Q760" s="2">
        <f t="shared" si="46"/>
        <v>0</v>
      </c>
      <c r="R760" s="5" t="str">
        <f t="shared" si="47"/>
        <v>Above Average</v>
      </c>
      <c r="S760" s="5" t="str">
        <f>Table1[[#This Row],[Quarter]]&amp;" - "&amp;Table1[[#This Row],[City]]</f>
        <v>Q4 - Kolkata</v>
      </c>
    </row>
    <row r="761" spans="1:19" x14ac:dyDescent="0.3">
      <c r="A761" t="s">
        <v>831</v>
      </c>
      <c r="B761" s="1">
        <v>45574</v>
      </c>
      <c r="C761" t="s">
        <v>799</v>
      </c>
      <c r="D761" t="s">
        <v>800</v>
      </c>
      <c r="E761" t="s">
        <v>34</v>
      </c>
      <c r="F761" t="s">
        <v>31</v>
      </c>
      <c r="G761" t="s">
        <v>131</v>
      </c>
      <c r="H761">
        <v>9</v>
      </c>
      <c r="I761">
        <v>1430</v>
      </c>
      <c r="J761">
        <v>15</v>
      </c>
      <c r="K761">
        <v>10939.5</v>
      </c>
      <c r="L761" t="s">
        <v>49</v>
      </c>
      <c r="M761" s="2">
        <f>Table1[[#This Row],[Revenue_INR]]-Table1[[#This Row],[Price_INR]]</f>
        <v>9509.5</v>
      </c>
      <c r="N761">
        <f>YEAR(Table1[[#This Row],[Date]])</f>
        <v>2024</v>
      </c>
      <c r="O761" s="2">
        <f t="shared" si="44"/>
        <v>1215.5</v>
      </c>
      <c r="P761" s="7">
        <f t="shared" si="45"/>
        <v>86.928104575163403</v>
      </c>
      <c r="Q761" s="2">
        <f t="shared" si="46"/>
        <v>1930.5</v>
      </c>
      <c r="R761" s="5" t="str">
        <f t="shared" si="47"/>
        <v>Below Average</v>
      </c>
      <c r="S761" s="5" t="str">
        <f>Table1[[#This Row],[Quarter]]&amp;" - "&amp;Table1[[#This Row],[City]]</f>
        <v>Q4 - Delhi</v>
      </c>
    </row>
    <row r="762" spans="1:19" x14ac:dyDescent="0.3">
      <c r="A762" t="s">
        <v>832</v>
      </c>
      <c r="B762" s="1">
        <v>45574</v>
      </c>
      <c r="C762" t="s">
        <v>799</v>
      </c>
      <c r="D762" t="s">
        <v>800</v>
      </c>
      <c r="E762" t="s">
        <v>20</v>
      </c>
      <c r="F762" t="s">
        <v>26</v>
      </c>
      <c r="G762" t="s">
        <v>58</v>
      </c>
      <c r="H762">
        <v>4</v>
      </c>
      <c r="I762">
        <v>10340</v>
      </c>
      <c r="J762">
        <v>0</v>
      </c>
      <c r="K762">
        <v>41360</v>
      </c>
      <c r="L762" t="s">
        <v>23</v>
      </c>
      <c r="M762" s="2">
        <f>Table1[[#This Row],[Revenue_INR]]-Table1[[#This Row],[Price_INR]]</f>
        <v>31020</v>
      </c>
      <c r="N762">
        <f>YEAR(Table1[[#This Row],[Date]])</f>
        <v>2024</v>
      </c>
      <c r="O762" s="2">
        <f t="shared" si="44"/>
        <v>10340</v>
      </c>
      <c r="P762" s="7">
        <f t="shared" si="45"/>
        <v>75</v>
      </c>
      <c r="Q762" s="2">
        <f t="shared" si="46"/>
        <v>0</v>
      </c>
      <c r="R762" s="5" t="str">
        <f t="shared" si="47"/>
        <v>Above Average</v>
      </c>
      <c r="S762" s="5" t="str">
        <f>Table1[[#This Row],[Quarter]]&amp;" - "&amp;Table1[[#This Row],[City]]</f>
        <v>Q4 - Mumbai</v>
      </c>
    </row>
    <row r="763" spans="1:19" x14ac:dyDescent="0.3">
      <c r="A763" t="s">
        <v>833</v>
      </c>
      <c r="B763" s="1">
        <v>45576</v>
      </c>
      <c r="C763" t="s">
        <v>799</v>
      </c>
      <c r="D763" t="s">
        <v>800</v>
      </c>
      <c r="E763" t="s">
        <v>20</v>
      </c>
      <c r="F763" t="s">
        <v>26</v>
      </c>
      <c r="G763" t="s">
        <v>27</v>
      </c>
      <c r="H763">
        <v>11</v>
      </c>
      <c r="I763">
        <v>8000</v>
      </c>
      <c r="J763">
        <v>10</v>
      </c>
      <c r="K763">
        <v>79200</v>
      </c>
      <c r="L763" t="s">
        <v>77</v>
      </c>
      <c r="M763" s="2">
        <f>Table1[[#This Row],[Revenue_INR]]-Table1[[#This Row],[Price_INR]]</f>
        <v>71200</v>
      </c>
      <c r="N763">
        <f>YEAR(Table1[[#This Row],[Date]])</f>
        <v>2024</v>
      </c>
      <c r="O763" s="2">
        <f t="shared" si="44"/>
        <v>7200</v>
      </c>
      <c r="P763" s="7">
        <f t="shared" si="45"/>
        <v>89.898989898989896</v>
      </c>
      <c r="Q763" s="2">
        <f t="shared" si="46"/>
        <v>8800</v>
      </c>
      <c r="R763" s="5" t="str">
        <f t="shared" si="47"/>
        <v>Above Average</v>
      </c>
      <c r="S763" s="5" t="str">
        <f>Table1[[#This Row],[Quarter]]&amp;" - "&amp;Table1[[#This Row],[City]]</f>
        <v>Q4 - Mumbai</v>
      </c>
    </row>
    <row r="764" spans="1:19" x14ac:dyDescent="0.3">
      <c r="A764" t="s">
        <v>834</v>
      </c>
      <c r="B764" s="1">
        <v>45577</v>
      </c>
      <c r="C764" t="s">
        <v>799</v>
      </c>
      <c r="D764" t="s">
        <v>800</v>
      </c>
      <c r="E764" t="s">
        <v>34</v>
      </c>
      <c r="F764" t="s">
        <v>21</v>
      </c>
      <c r="G764" t="s">
        <v>22</v>
      </c>
      <c r="H764">
        <v>5</v>
      </c>
      <c r="I764">
        <v>1920</v>
      </c>
      <c r="J764">
        <v>0</v>
      </c>
      <c r="K764">
        <v>9600</v>
      </c>
      <c r="L764" t="s">
        <v>36</v>
      </c>
      <c r="M764" s="2">
        <f>Table1[[#This Row],[Revenue_INR]]-Table1[[#This Row],[Price_INR]]</f>
        <v>7680</v>
      </c>
      <c r="N764">
        <f>YEAR(Table1[[#This Row],[Date]])</f>
        <v>2024</v>
      </c>
      <c r="O764" s="2">
        <f t="shared" si="44"/>
        <v>1920</v>
      </c>
      <c r="P764" s="7">
        <f t="shared" si="45"/>
        <v>80</v>
      </c>
      <c r="Q764" s="2">
        <f t="shared" si="46"/>
        <v>0</v>
      </c>
      <c r="R764" s="5" t="str">
        <f t="shared" si="47"/>
        <v>Below Average</v>
      </c>
      <c r="S764" s="5" t="str">
        <f>Table1[[#This Row],[Quarter]]&amp;" - "&amp;Table1[[#This Row],[City]]</f>
        <v>Q4 - Delhi</v>
      </c>
    </row>
    <row r="765" spans="1:19" x14ac:dyDescent="0.3">
      <c r="A765" t="s">
        <v>835</v>
      </c>
      <c r="B765" s="1">
        <v>45577</v>
      </c>
      <c r="C765" t="s">
        <v>799</v>
      </c>
      <c r="D765" t="s">
        <v>800</v>
      </c>
      <c r="E765" t="s">
        <v>34</v>
      </c>
      <c r="F765" t="s">
        <v>26</v>
      </c>
      <c r="G765" t="s">
        <v>27</v>
      </c>
      <c r="H765">
        <v>14</v>
      </c>
      <c r="I765">
        <v>11220</v>
      </c>
      <c r="J765">
        <v>25</v>
      </c>
      <c r="K765">
        <v>117810</v>
      </c>
      <c r="L765" t="s">
        <v>45</v>
      </c>
      <c r="M765" s="2">
        <f>Table1[[#This Row],[Revenue_INR]]-Table1[[#This Row],[Price_INR]]</f>
        <v>106590</v>
      </c>
      <c r="N765">
        <f>YEAR(Table1[[#This Row],[Date]])</f>
        <v>2024</v>
      </c>
      <c r="O765" s="2">
        <f t="shared" si="44"/>
        <v>8415</v>
      </c>
      <c r="P765" s="7">
        <f t="shared" si="45"/>
        <v>90.476190476190482</v>
      </c>
      <c r="Q765" s="2">
        <f t="shared" si="46"/>
        <v>39270</v>
      </c>
      <c r="R765" s="5" t="str">
        <f t="shared" si="47"/>
        <v>Above Average</v>
      </c>
      <c r="S765" s="5" t="str">
        <f>Table1[[#This Row],[Quarter]]&amp;" - "&amp;Table1[[#This Row],[City]]</f>
        <v>Q4 - Delhi</v>
      </c>
    </row>
    <row r="766" spans="1:19" x14ac:dyDescent="0.3">
      <c r="A766" t="s">
        <v>836</v>
      </c>
      <c r="B766" s="1">
        <v>45577</v>
      </c>
      <c r="C766" t="s">
        <v>799</v>
      </c>
      <c r="D766" t="s">
        <v>800</v>
      </c>
      <c r="E766" t="s">
        <v>20</v>
      </c>
      <c r="F766" t="s">
        <v>47</v>
      </c>
      <c r="G766" t="s">
        <v>48</v>
      </c>
      <c r="H766">
        <v>6</v>
      </c>
      <c r="I766">
        <v>3820</v>
      </c>
      <c r="J766">
        <v>20</v>
      </c>
      <c r="K766">
        <v>18336</v>
      </c>
      <c r="L766" t="s">
        <v>23</v>
      </c>
      <c r="M766" s="2">
        <f>Table1[[#This Row],[Revenue_INR]]-Table1[[#This Row],[Price_INR]]</f>
        <v>14516</v>
      </c>
      <c r="N766">
        <f>YEAR(Table1[[#This Row],[Date]])</f>
        <v>2024</v>
      </c>
      <c r="O766" s="2">
        <f t="shared" si="44"/>
        <v>3056</v>
      </c>
      <c r="P766" s="7">
        <f t="shared" si="45"/>
        <v>79.166666666666657</v>
      </c>
      <c r="Q766" s="2">
        <f t="shared" si="46"/>
        <v>4584</v>
      </c>
      <c r="R766" s="5" t="str">
        <f t="shared" si="47"/>
        <v>Below Average</v>
      </c>
      <c r="S766" s="5" t="str">
        <f>Table1[[#This Row],[Quarter]]&amp;" - "&amp;Table1[[#This Row],[City]]</f>
        <v>Q4 - Mumbai</v>
      </c>
    </row>
    <row r="767" spans="1:19" x14ac:dyDescent="0.3">
      <c r="A767" t="s">
        <v>837</v>
      </c>
      <c r="B767" s="1">
        <v>45577</v>
      </c>
      <c r="C767" t="s">
        <v>799</v>
      </c>
      <c r="D767" t="s">
        <v>800</v>
      </c>
      <c r="E767" t="s">
        <v>15</v>
      </c>
      <c r="F767" t="s">
        <v>16</v>
      </c>
      <c r="G767" t="s">
        <v>69</v>
      </c>
      <c r="H767">
        <v>7</v>
      </c>
      <c r="I767">
        <v>580</v>
      </c>
      <c r="J767">
        <v>0</v>
      </c>
      <c r="K767">
        <v>4060</v>
      </c>
      <c r="L767" t="s">
        <v>18</v>
      </c>
      <c r="M767" s="2">
        <f>Table1[[#This Row],[Revenue_INR]]-Table1[[#This Row],[Price_INR]]</f>
        <v>3480</v>
      </c>
      <c r="N767">
        <f>YEAR(Table1[[#This Row],[Date]])</f>
        <v>2024</v>
      </c>
      <c r="O767" s="2">
        <f t="shared" si="44"/>
        <v>580</v>
      </c>
      <c r="P767" s="7">
        <f t="shared" si="45"/>
        <v>85.714285714285708</v>
      </c>
      <c r="Q767" s="2">
        <f t="shared" si="46"/>
        <v>0</v>
      </c>
      <c r="R767" s="5" t="str">
        <f t="shared" si="47"/>
        <v>Below Average</v>
      </c>
      <c r="S767" s="5" t="str">
        <f>Table1[[#This Row],[Quarter]]&amp;" - "&amp;Table1[[#This Row],[City]]</f>
        <v>Q4 - Kolkata</v>
      </c>
    </row>
    <row r="768" spans="1:19" x14ac:dyDescent="0.3">
      <c r="A768" t="s">
        <v>838</v>
      </c>
      <c r="B768" s="1">
        <v>45577</v>
      </c>
      <c r="C768" t="s">
        <v>799</v>
      </c>
      <c r="D768" t="s">
        <v>800</v>
      </c>
      <c r="E768" t="s">
        <v>20</v>
      </c>
      <c r="F768" t="s">
        <v>21</v>
      </c>
      <c r="G768" t="s">
        <v>75</v>
      </c>
      <c r="H768">
        <v>13</v>
      </c>
      <c r="I768">
        <v>1860</v>
      </c>
      <c r="J768">
        <v>10</v>
      </c>
      <c r="K768">
        <v>21762</v>
      </c>
      <c r="L768" t="s">
        <v>23</v>
      </c>
      <c r="M768" s="2">
        <f>Table1[[#This Row],[Revenue_INR]]-Table1[[#This Row],[Price_INR]]</f>
        <v>19902</v>
      </c>
      <c r="N768">
        <f>YEAR(Table1[[#This Row],[Date]])</f>
        <v>2024</v>
      </c>
      <c r="O768" s="2">
        <f t="shared" si="44"/>
        <v>1674</v>
      </c>
      <c r="P768" s="7">
        <f t="shared" si="45"/>
        <v>91.452991452991455</v>
      </c>
      <c r="Q768" s="2">
        <f t="shared" si="46"/>
        <v>2418</v>
      </c>
      <c r="R768" s="5" t="str">
        <f t="shared" si="47"/>
        <v>Below Average</v>
      </c>
      <c r="S768" s="5" t="str">
        <f>Table1[[#This Row],[Quarter]]&amp;" - "&amp;Table1[[#This Row],[City]]</f>
        <v>Q4 - Mumbai</v>
      </c>
    </row>
    <row r="769" spans="1:19" x14ac:dyDescent="0.3">
      <c r="A769" t="s">
        <v>839</v>
      </c>
      <c r="B769" s="1">
        <v>45578</v>
      </c>
      <c r="C769" t="s">
        <v>799</v>
      </c>
      <c r="D769" t="s">
        <v>800</v>
      </c>
      <c r="E769" t="s">
        <v>15</v>
      </c>
      <c r="F769" t="s">
        <v>60</v>
      </c>
      <c r="G769" t="s">
        <v>99</v>
      </c>
      <c r="H769">
        <v>5</v>
      </c>
      <c r="I769">
        <v>2180</v>
      </c>
      <c r="J769">
        <v>15</v>
      </c>
      <c r="K769">
        <v>9265</v>
      </c>
      <c r="L769" t="s">
        <v>18</v>
      </c>
      <c r="M769" s="2">
        <f>Table1[[#This Row],[Revenue_INR]]-Table1[[#This Row],[Price_INR]]</f>
        <v>7085</v>
      </c>
      <c r="N769">
        <f>YEAR(Table1[[#This Row],[Date]])</f>
        <v>2024</v>
      </c>
      <c r="O769" s="2">
        <f t="shared" si="44"/>
        <v>1853</v>
      </c>
      <c r="P769" s="7">
        <f t="shared" si="45"/>
        <v>76.470588235294116</v>
      </c>
      <c r="Q769" s="2">
        <f t="shared" si="46"/>
        <v>1635</v>
      </c>
      <c r="R769" s="5" t="str">
        <f t="shared" si="47"/>
        <v>Below Average</v>
      </c>
      <c r="S769" s="5" t="str">
        <f>Table1[[#This Row],[Quarter]]&amp;" - "&amp;Table1[[#This Row],[City]]</f>
        <v>Q4 - Kolkata</v>
      </c>
    </row>
    <row r="770" spans="1:19" x14ac:dyDescent="0.3">
      <c r="A770" t="s">
        <v>840</v>
      </c>
      <c r="B770" s="1">
        <v>45578</v>
      </c>
      <c r="C770" t="s">
        <v>799</v>
      </c>
      <c r="D770" t="s">
        <v>800</v>
      </c>
      <c r="E770" t="s">
        <v>20</v>
      </c>
      <c r="F770" t="s">
        <v>21</v>
      </c>
      <c r="G770" t="s">
        <v>22</v>
      </c>
      <c r="H770">
        <v>14</v>
      </c>
      <c r="I770">
        <v>2160</v>
      </c>
      <c r="J770">
        <v>5</v>
      </c>
      <c r="K770">
        <v>28728</v>
      </c>
      <c r="L770" t="s">
        <v>77</v>
      </c>
      <c r="M770" s="2">
        <f>Table1[[#This Row],[Revenue_INR]]-Table1[[#This Row],[Price_INR]]</f>
        <v>26568</v>
      </c>
      <c r="N770">
        <f>YEAR(Table1[[#This Row],[Date]])</f>
        <v>2024</v>
      </c>
      <c r="O770" s="2">
        <f t="shared" ref="O770:O833" si="48">K770/H770</f>
        <v>2052</v>
      </c>
      <c r="P770" s="7">
        <f t="shared" ref="P770:P833" si="49">M770/K770*100</f>
        <v>92.481203007518801</v>
      </c>
      <c r="Q770" s="2">
        <f t="shared" ref="Q770:Q833" si="50">I770*H770*J770/100</f>
        <v>1512</v>
      </c>
      <c r="R770" s="5" t="str">
        <f t="shared" ref="R770:R833" si="51">IF(K770&gt;AVERAGE($K$2:$K$1001),"Above Average","Below Average")</f>
        <v>Above Average</v>
      </c>
      <c r="S770" s="5" t="str">
        <f>Table1[[#This Row],[Quarter]]&amp;" - "&amp;Table1[[#This Row],[City]]</f>
        <v>Q4 - Mumbai</v>
      </c>
    </row>
    <row r="771" spans="1:19" x14ac:dyDescent="0.3">
      <c r="A771" t="s">
        <v>841</v>
      </c>
      <c r="B771" s="1">
        <v>45578</v>
      </c>
      <c r="C771" t="s">
        <v>799</v>
      </c>
      <c r="D771" t="s">
        <v>800</v>
      </c>
      <c r="E771" t="s">
        <v>34</v>
      </c>
      <c r="F771" t="s">
        <v>60</v>
      </c>
      <c r="G771" t="s">
        <v>124</v>
      </c>
      <c r="H771">
        <v>5</v>
      </c>
      <c r="I771">
        <v>840</v>
      </c>
      <c r="J771">
        <v>25</v>
      </c>
      <c r="K771">
        <v>3150</v>
      </c>
      <c r="L771" t="s">
        <v>45</v>
      </c>
      <c r="M771" s="2">
        <f>Table1[[#This Row],[Revenue_INR]]-Table1[[#This Row],[Price_INR]]</f>
        <v>2310</v>
      </c>
      <c r="N771">
        <f>YEAR(Table1[[#This Row],[Date]])</f>
        <v>2024</v>
      </c>
      <c r="O771" s="2">
        <f t="shared" si="48"/>
        <v>630</v>
      </c>
      <c r="P771" s="7">
        <f t="shared" si="49"/>
        <v>73.333333333333329</v>
      </c>
      <c r="Q771" s="2">
        <f t="shared" si="50"/>
        <v>1050</v>
      </c>
      <c r="R771" s="5" t="str">
        <f t="shared" si="51"/>
        <v>Below Average</v>
      </c>
      <c r="S771" s="5" t="str">
        <f>Table1[[#This Row],[Quarter]]&amp;" - "&amp;Table1[[#This Row],[City]]</f>
        <v>Q4 - Delhi</v>
      </c>
    </row>
    <row r="772" spans="1:19" x14ac:dyDescent="0.3">
      <c r="A772" t="s">
        <v>842</v>
      </c>
      <c r="B772" s="1">
        <v>45578</v>
      </c>
      <c r="C772" t="s">
        <v>799</v>
      </c>
      <c r="D772" t="s">
        <v>800</v>
      </c>
      <c r="E772" t="s">
        <v>25</v>
      </c>
      <c r="F772" t="s">
        <v>16</v>
      </c>
      <c r="G772" t="s">
        <v>44</v>
      </c>
      <c r="H772">
        <v>6</v>
      </c>
      <c r="I772">
        <v>2100</v>
      </c>
      <c r="J772">
        <v>30</v>
      </c>
      <c r="K772">
        <v>8820</v>
      </c>
      <c r="L772" t="s">
        <v>28</v>
      </c>
      <c r="M772" s="2">
        <f>Table1[[#This Row],[Revenue_INR]]-Table1[[#This Row],[Price_INR]]</f>
        <v>6720</v>
      </c>
      <c r="N772">
        <f>YEAR(Table1[[#This Row],[Date]])</f>
        <v>2024</v>
      </c>
      <c r="O772" s="2">
        <f t="shared" si="48"/>
        <v>1470</v>
      </c>
      <c r="P772" s="7">
        <f t="shared" si="49"/>
        <v>76.19047619047619</v>
      </c>
      <c r="Q772" s="2">
        <f t="shared" si="50"/>
        <v>3780</v>
      </c>
      <c r="R772" s="5" t="str">
        <f t="shared" si="51"/>
        <v>Below Average</v>
      </c>
      <c r="S772" s="5" t="str">
        <f>Table1[[#This Row],[Quarter]]&amp;" - "&amp;Table1[[#This Row],[City]]</f>
        <v>Q4 - Hyderabad</v>
      </c>
    </row>
    <row r="773" spans="1:19" x14ac:dyDescent="0.3">
      <c r="A773" t="s">
        <v>843</v>
      </c>
      <c r="B773" s="1">
        <v>45579</v>
      </c>
      <c r="C773" t="s">
        <v>799</v>
      </c>
      <c r="D773" t="s">
        <v>800</v>
      </c>
      <c r="E773" t="s">
        <v>15</v>
      </c>
      <c r="F773" t="s">
        <v>16</v>
      </c>
      <c r="G773" t="s">
        <v>69</v>
      </c>
      <c r="H773">
        <v>9</v>
      </c>
      <c r="I773">
        <v>2200</v>
      </c>
      <c r="J773">
        <v>5</v>
      </c>
      <c r="K773">
        <v>18810</v>
      </c>
      <c r="L773" t="s">
        <v>53</v>
      </c>
      <c r="M773" s="2">
        <f>Table1[[#This Row],[Revenue_INR]]-Table1[[#This Row],[Price_INR]]</f>
        <v>16610</v>
      </c>
      <c r="N773">
        <f>YEAR(Table1[[#This Row],[Date]])</f>
        <v>2024</v>
      </c>
      <c r="O773" s="2">
        <f t="shared" si="48"/>
        <v>2090</v>
      </c>
      <c r="P773" s="7">
        <f t="shared" si="49"/>
        <v>88.304093567251456</v>
      </c>
      <c r="Q773" s="2">
        <f t="shared" si="50"/>
        <v>990</v>
      </c>
      <c r="R773" s="5" t="str">
        <f t="shared" si="51"/>
        <v>Below Average</v>
      </c>
      <c r="S773" s="5" t="str">
        <f>Table1[[#This Row],[Quarter]]&amp;" - "&amp;Table1[[#This Row],[City]]</f>
        <v>Q4 - Kolkata</v>
      </c>
    </row>
    <row r="774" spans="1:19" x14ac:dyDescent="0.3">
      <c r="A774" t="s">
        <v>844</v>
      </c>
      <c r="B774" s="1">
        <v>45579</v>
      </c>
      <c r="C774" t="s">
        <v>799</v>
      </c>
      <c r="D774" t="s">
        <v>800</v>
      </c>
      <c r="E774" t="s">
        <v>15</v>
      </c>
      <c r="F774" t="s">
        <v>47</v>
      </c>
      <c r="G774" t="s">
        <v>102</v>
      </c>
      <c r="H774">
        <v>3</v>
      </c>
      <c r="I774">
        <v>3000</v>
      </c>
      <c r="J774">
        <v>5</v>
      </c>
      <c r="K774">
        <v>8550</v>
      </c>
      <c r="L774" t="s">
        <v>18</v>
      </c>
      <c r="M774" s="2">
        <f>Table1[[#This Row],[Revenue_INR]]-Table1[[#This Row],[Price_INR]]</f>
        <v>5550</v>
      </c>
      <c r="N774">
        <f>YEAR(Table1[[#This Row],[Date]])</f>
        <v>2024</v>
      </c>
      <c r="O774" s="2">
        <f t="shared" si="48"/>
        <v>2850</v>
      </c>
      <c r="P774" s="7">
        <f t="shared" si="49"/>
        <v>64.912280701754383</v>
      </c>
      <c r="Q774" s="2">
        <f t="shared" si="50"/>
        <v>450</v>
      </c>
      <c r="R774" s="5" t="str">
        <f t="shared" si="51"/>
        <v>Below Average</v>
      </c>
      <c r="S774" s="5" t="str">
        <f>Table1[[#This Row],[Quarter]]&amp;" - "&amp;Table1[[#This Row],[City]]</f>
        <v>Q4 - Kolkata</v>
      </c>
    </row>
    <row r="775" spans="1:19" x14ac:dyDescent="0.3">
      <c r="A775" t="s">
        <v>845</v>
      </c>
      <c r="B775" s="1">
        <v>45579</v>
      </c>
      <c r="C775" t="s">
        <v>799</v>
      </c>
      <c r="D775" t="s">
        <v>800</v>
      </c>
      <c r="E775" t="s">
        <v>34</v>
      </c>
      <c r="F775" t="s">
        <v>47</v>
      </c>
      <c r="G775" t="s">
        <v>48</v>
      </c>
      <c r="H775">
        <v>1</v>
      </c>
      <c r="I775">
        <v>2320</v>
      </c>
      <c r="J775">
        <v>20</v>
      </c>
      <c r="K775">
        <v>1856</v>
      </c>
      <c r="L775" t="s">
        <v>45</v>
      </c>
      <c r="M775" s="2">
        <f>Table1[[#This Row],[Revenue_INR]]-Table1[[#This Row],[Price_INR]]</f>
        <v>-464</v>
      </c>
      <c r="N775">
        <f>YEAR(Table1[[#This Row],[Date]])</f>
        <v>2024</v>
      </c>
      <c r="O775" s="2">
        <f t="shared" si="48"/>
        <v>1856</v>
      </c>
      <c r="P775" s="7">
        <f t="shared" si="49"/>
        <v>-25</v>
      </c>
      <c r="Q775" s="2">
        <f t="shared" si="50"/>
        <v>464</v>
      </c>
      <c r="R775" s="5" t="str">
        <f t="shared" si="51"/>
        <v>Below Average</v>
      </c>
      <c r="S775" s="5" t="str">
        <f>Table1[[#This Row],[Quarter]]&amp;" - "&amp;Table1[[#This Row],[City]]</f>
        <v>Q4 - Delhi</v>
      </c>
    </row>
    <row r="776" spans="1:19" x14ac:dyDescent="0.3">
      <c r="A776" t="s">
        <v>846</v>
      </c>
      <c r="B776" s="1">
        <v>45580</v>
      </c>
      <c r="C776" t="s">
        <v>799</v>
      </c>
      <c r="D776" t="s">
        <v>800</v>
      </c>
      <c r="E776" t="s">
        <v>15</v>
      </c>
      <c r="F776" t="s">
        <v>31</v>
      </c>
      <c r="G776" t="s">
        <v>32</v>
      </c>
      <c r="H776">
        <v>7</v>
      </c>
      <c r="I776">
        <v>2850</v>
      </c>
      <c r="J776">
        <v>0</v>
      </c>
      <c r="K776">
        <v>19950</v>
      </c>
      <c r="L776" t="s">
        <v>92</v>
      </c>
      <c r="M776" s="2">
        <f>Table1[[#This Row],[Revenue_INR]]-Table1[[#This Row],[Price_INR]]</f>
        <v>17100</v>
      </c>
      <c r="N776">
        <f>YEAR(Table1[[#This Row],[Date]])</f>
        <v>2024</v>
      </c>
      <c r="O776" s="2">
        <f t="shared" si="48"/>
        <v>2850</v>
      </c>
      <c r="P776" s="7">
        <f t="shared" si="49"/>
        <v>85.714285714285708</v>
      </c>
      <c r="Q776" s="2">
        <f t="shared" si="50"/>
        <v>0</v>
      </c>
      <c r="R776" s="5" t="str">
        <f t="shared" si="51"/>
        <v>Below Average</v>
      </c>
      <c r="S776" s="5" t="str">
        <f>Table1[[#This Row],[Quarter]]&amp;" - "&amp;Table1[[#This Row],[City]]</f>
        <v>Q4 - Kolkata</v>
      </c>
    </row>
    <row r="777" spans="1:19" x14ac:dyDescent="0.3">
      <c r="A777" t="s">
        <v>847</v>
      </c>
      <c r="B777" s="1">
        <v>45580</v>
      </c>
      <c r="C777" t="s">
        <v>799</v>
      </c>
      <c r="D777" t="s">
        <v>800</v>
      </c>
      <c r="E777" t="s">
        <v>20</v>
      </c>
      <c r="F777" t="s">
        <v>16</v>
      </c>
      <c r="G777" t="s">
        <v>17</v>
      </c>
      <c r="H777">
        <v>10</v>
      </c>
      <c r="I777">
        <v>2860</v>
      </c>
      <c r="J777">
        <v>5</v>
      </c>
      <c r="K777">
        <v>27170</v>
      </c>
      <c r="L777" t="s">
        <v>39</v>
      </c>
      <c r="M777" s="2">
        <f>Table1[[#This Row],[Revenue_INR]]-Table1[[#This Row],[Price_INR]]</f>
        <v>24310</v>
      </c>
      <c r="N777">
        <f>YEAR(Table1[[#This Row],[Date]])</f>
        <v>2024</v>
      </c>
      <c r="O777" s="2">
        <f t="shared" si="48"/>
        <v>2717</v>
      </c>
      <c r="P777" s="7">
        <f t="shared" si="49"/>
        <v>89.473684210526315</v>
      </c>
      <c r="Q777" s="2">
        <f t="shared" si="50"/>
        <v>1430</v>
      </c>
      <c r="R777" s="5" t="str">
        <f t="shared" si="51"/>
        <v>Above Average</v>
      </c>
      <c r="S777" s="5" t="str">
        <f>Table1[[#This Row],[Quarter]]&amp;" - "&amp;Table1[[#This Row],[City]]</f>
        <v>Q4 - Mumbai</v>
      </c>
    </row>
    <row r="778" spans="1:19" x14ac:dyDescent="0.3">
      <c r="A778" t="s">
        <v>848</v>
      </c>
      <c r="B778" s="1">
        <v>45580</v>
      </c>
      <c r="C778" t="s">
        <v>799</v>
      </c>
      <c r="D778" t="s">
        <v>800</v>
      </c>
      <c r="E778" t="s">
        <v>20</v>
      </c>
      <c r="F778" t="s">
        <v>26</v>
      </c>
      <c r="G778" t="s">
        <v>58</v>
      </c>
      <c r="H778">
        <v>4</v>
      </c>
      <c r="I778">
        <v>1590</v>
      </c>
      <c r="J778">
        <v>10</v>
      </c>
      <c r="K778">
        <v>5724</v>
      </c>
      <c r="L778" t="s">
        <v>23</v>
      </c>
      <c r="M778" s="2">
        <f>Table1[[#This Row],[Revenue_INR]]-Table1[[#This Row],[Price_INR]]</f>
        <v>4134</v>
      </c>
      <c r="N778">
        <f>YEAR(Table1[[#This Row],[Date]])</f>
        <v>2024</v>
      </c>
      <c r="O778" s="2">
        <f t="shared" si="48"/>
        <v>1431</v>
      </c>
      <c r="P778" s="7">
        <f t="shared" si="49"/>
        <v>72.222222222222214</v>
      </c>
      <c r="Q778" s="2">
        <f t="shared" si="50"/>
        <v>636</v>
      </c>
      <c r="R778" s="5" t="str">
        <f t="shared" si="51"/>
        <v>Below Average</v>
      </c>
      <c r="S778" s="5" t="str">
        <f>Table1[[#This Row],[Quarter]]&amp;" - "&amp;Table1[[#This Row],[City]]</f>
        <v>Q4 - Mumbai</v>
      </c>
    </row>
    <row r="779" spans="1:19" x14ac:dyDescent="0.3">
      <c r="A779" t="s">
        <v>849</v>
      </c>
      <c r="B779" s="1">
        <v>45581</v>
      </c>
      <c r="C779" t="s">
        <v>799</v>
      </c>
      <c r="D779" t="s">
        <v>800</v>
      </c>
      <c r="E779" t="s">
        <v>34</v>
      </c>
      <c r="F779" t="s">
        <v>31</v>
      </c>
      <c r="G779" t="s">
        <v>35</v>
      </c>
      <c r="H779">
        <v>9</v>
      </c>
      <c r="I779">
        <v>1730</v>
      </c>
      <c r="J779">
        <v>15</v>
      </c>
      <c r="K779">
        <v>13234.5</v>
      </c>
      <c r="L779" t="s">
        <v>36</v>
      </c>
      <c r="M779" s="2">
        <f>Table1[[#This Row],[Revenue_INR]]-Table1[[#This Row],[Price_INR]]</f>
        <v>11504.5</v>
      </c>
      <c r="N779">
        <f>YEAR(Table1[[#This Row],[Date]])</f>
        <v>2024</v>
      </c>
      <c r="O779" s="2">
        <f t="shared" si="48"/>
        <v>1470.5</v>
      </c>
      <c r="P779" s="7">
        <f t="shared" si="49"/>
        <v>86.928104575163403</v>
      </c>
      <c r="Q779" s="2">
        <f t="shared" si="50"/>
        <v>2335.5</v>
      </c>
      <c r="R779" s="5" t="str">
        <f t="shared" si="51"/>
        <v>Below Average</v>
      </c>
      <c r="S779" s="5" t="str">
        <f>Table1[[#This Row],[Quarter]]&amp;" - "&amp;Table1[[#This Row],[City]]</f>
        <v>Q4 - Delhi</v>
      </c>
    </row>
    <row r="780" spans="1:19" x14ac:dyDescent="0.3">
      <c r="A780" t="s">
        <v>850</v>
      </c>
      <c r="B780" s="1">
        <v>45582</v>
      </c>
      <c r="C780" t="s">
        <v>799</v>
      </c>
      <c r="D780" t="s">
        <v>800</v>
      </c>
      <c r="E780" t="s">
        <v>20</v>
      </c>
      <c r="F780" t="s">
        <v>47</v>
      </c>
      <c r="G780" t="s">
        <v>102</v>
      </c>
      <c r="H780">
        <v>1</v>
      </c>
      <c r="I780">
        <v>5570</v>
      </c>
      <c r="J780">
        <v>15</v>
      </c>
      <c r="K780">
        <v>4734.5</v>
      </c>
      <c r="L780" t="s">
        <v>39</v>
      </c>
      <c r="M780" s="2">
        <f>Table1[[#This Row],[Revenue_INR]]-Table1[[#This Row],[Price_INR]]</f>
        <v>-835.5</v>
      </c>
      <c r="N780">
        <f>YEAR(Table1[[#This Row],[Date]])</f>
        <v>2024</v>
      </c>
      <c r="O780" s="2">
        <f t="shared" si="48"/>
        <v>4734.5</v>
      </c>
      <c r="P780" s="7">
        <f t="shared" si="49"/>
        <v>-17.647058823529413</v>
      </c>
      <c r="Q780" s="2">
        <f t="shared" si="50"/>
        <v>835.5</v>
      </c>
      <c r="R780" s="5" t="str">
        <f t="shared" si="51"/>
        <v>Below Average</v>
      </c>
      <c r="S780" s="5" t="str">
        <f>Table1[[#This Row],[Quarter]]&amp;" - "&amp;Table1[[#This Row],[City]]</f>
        <v>Q4 - Mumbai</v>
      </c>
    </row>
    <row r="781" spans="1:19" x14ac:dyDescent="0.3">
      <c r="A781" t="s">
        <v>851</v>
      </c>
      <c r="B781" s="1">
        <v>45582</v>
      </c>
      <c r="C781" t="s">
        <v>799</v>
      </c>
      <c r="D781" t="s">
        <v>800</v>
      </c>
      <c r="E781" t="s">
        <v>25</v>
      </c>
      <c r="F781" t="s">
        <v>16</v>
      </c>
      <c r="G781" t="s">
        <v>69</v>
      </c>
      <c r="H781">
        <v>10</v>
      </c>
      <c r="I781">
        <v>2860</v>
      </c>
      <c r="J781">
        <v>15</v>
      </c>
      <c r="K781">
        <v>24310</v>
      </c>
      <c r="L781" t="s">
        <v>42</v>
      </c>
      <c r="M781" s="2">
        <f>Table1[[#This Row],[Revenue_INR]]-Table1[[#This Row],[Price_INR]]</f>
        <v>21450</v>
      </c>
      <c r="N781">
        <f>YEAR(Table1[[#This Row],[Date]])</f>
        <v>2024</v>
      </c>
      <c r="O781" s="2">
        <f t="shared" si="48"/>
        <v>2431</v>
      </c>
      <c r="P781" s="7">
        <f t="shared" si="49"/>
        <v>88.235294117647058</v>
      </c>
      <c r="Q781" s="2">
        <f t="shared" si="50"/>
        <v>4290</v>
      </c>
      <c r="R781" s="5" t="str">
        <f t="shared" si="51"/>
        <v>Below Average</v>
      </c>
      <c r="S781" s="5" t="str">
        <f>Table1[[#This Row],[Quarter]]&amp;" - "&amp;Table1[[#This Row],[City]]</f>
        <v>Q4 - Hyderabad</v>
      </c>
    </row>
    <row r="782" spans="1:19" x14ac:dyDescent="0.3">
      <c r="A782" t="s">
        <v>852</v>
      </c>
      <c r="B782" s="1">
        <v>45583</v>
      </c>
      <c r="C782" t="s">
        <v>799</v>
      </c>
      <c r="D782" t="s">
        <v>800</v>
      </c>
      <c r="E782" t="s">
        <v>20</v>
      </c>
      <c r="F782" t="s">
        <v>60</v>
      </c>
      <c r="G782" t="s">
        <v>85</v>
      </c>
      <c r="H782">
        <v>10</v>
      </c>
      <c r="I782">
        <v>2100</v>
      </c>
      <c r="J782">
        <v>25</v>
      </c>
      <c r="K782">
        <v>15750</v>
      </c>
      <c r="L782" t="s">
        <v>23</v>
      </c>
      <c r="M782" s="2">
        <f>Table1[[#This Row],[Revenue_INR]]-Table1[[#This Row],[Price_INR]]</f>
        <v>13650</v>
      </c>
      <c r="N782">
        <f>YEAR(Table1[[#This Row],[Date]])</f>
        <v>2024</v>
      </c>
      <c r="O782" s="2">
        <f t="shared" si="48"/>
        <v>1575</v>
      </c>
      <c r="P782" s="7">
        <f t="shared" si="49"/>
        <v>86.666666666666671</v>
      </c>
      <c r="Q782" s="2">
        <f t="shared" si="50"/>
        <v>5250</v>
      </c>
      <c r="R782" s="5" t="str">
        <f t="shared" si="51"/>
        <v>Below Average</v>
      </c>
      <c r="S782" s="5" t="str">
        <f>Table1[[#This Row],[Quarter]]&amp;" - "&amp;Table1[[#This Row],[City]]</f>
        <v>Q4 - Mumbai</v>
      </c>
    </row>
    <row r="783" spans="1:19" x14ac:dyDescent="0.3">
      <c r="A783" t="s">
        <v>853</v>
      </c>
      <c r="B783" s="1">
        <v>45583</v>
      </c>
      <c r="C783" t="s">
        <v>799</v>
      </c>
      <c r="D783" t="s">
        <v>800</v>
      </c>
      <c r="E783" t="s">
        <v>34</v>
      </c>
      <c r="F783" t="s">
        <v>16</v>
      </c>
      <c r="G783" t="s">
        <v>41</v>
      </c>
      <c r="H783">
        <v>14</v>
      </c>
      <c r="I783">
        <v>670</v>
      </c>
      <c r="J783">
        <v>20</v>
      </c>
      <c r="K783">
        <v>7504</v>
      </c>
      <c r="L783" t="s">
        <v>45</v>
      </c>
      <c r="M783" s="2">
        <f>Table1[[#This Row],[Revenue_INR]]-Table1[[#This Row],[Price_INR]]</f>
        <v>6834</v>
      </c>
      <c r="N783">
        <f>YEAR(Table1[[#This Row],[Date]])</f>
        <v>2024</v>
      </c>
      <c r="O783" s="2">
        <f t="shared" si="48"/>
        <v>536</v>
      </c>
      <c r="P783" s="7">
        <f t="shared" si="49"/>
        <v>91.071428571428569</v>
      </c>
      <c r="Q783" s="2">
        <f t="shared" si="50"/>
        <v>1876</v>
      </c>
      <c r="R783" s="5" t="str">
        <f t="shared" si="51"/>
        <v>Below Average</v>
      </c>
      <c r="S783" s="5" t="str">
        <f>Table1[[#This Row],[Quarter]]&amp;" - "&amp;Table1[[#This Row],[City]]</f>
        <v>Q4 - Delhi</v>
      </c>
    </row>
    <row r="784" spans="1:19" x14ac:dyDescent="0.3">
      <c r="A784" t="s">
        <v>854</v>
      </c>
      <c r="B784" s="1">
        <v>45583</v>
      </c>
      <c r="C784" t="s">
        <v>799</v>
      </c>
      <c r="D784" t="s">
        <v>800</v>
      </c>
      <c r="E784" t="s">
        <v>15</v>
      </c>
      <c r="F784" t="s">
        <v>21</v>
      </c>
      <c r="G784" t="s">
        <v>22</v>
      </c>
      <c r="H784">
        <v>6</v>
      </c>
      <c r="I784">
        <v>2640</v>
      </c>
      <c r="J784">
        <v>10</v>
      </c>
      <c r="K784">
        <v>14256</v>
      </c>
      <c r="L784" t="s">
        <v>18</v>
      </c>
      <c r="M784" s="2">
        <f>Table1[[#This Row],[Revenue_INR]]-Table1[[#This Row],[Price_INR]]</f>
        <v>11616</v>
      </c>
      <c r="N784">
        <f>YEAR(Table1[[#This Row],[Date]])</f>
        <v>2024</v>
      </c>
      <c r="O784" s="2">
        <f t="shared" si="48"/>
        <v>2376</v>
      </c>
      <c r="P784" s="7">
        <f t="shared" si="49"/>
        <v>81.481481481481481</v>
      </c>
      <c r="Q784" s="2">
        <f t="shared" si="50"/>
        <v>1584</v>
      </c>
      <c r="R784" s="5" t="str">
        <f t="shared" si="51"/>
        <v>Below Average</v>
      </c>
      <c r="S784" s="5" t="str">
        <f>Table1[[#This Row],[Quarter]]&amp;" - "&amp;Table1[[#This Row],[City]]</f>
        <v>Q4 - Kolkata</v>
      </c>
    </row>
    <row r="785" spans="1:19" x14ac:dyDescent="0.3">
      <c r="A785" t="s">
        <v>855</v>
      </c>
      <c r="B785" s="1">
        <v>45584</v>
      </c>
      <c r="C785" t="s">
        <v>799</v>
      </c>
      <c r="D785" t="s">
        <v>800</v>
      </c>
      <c r="E785" t="s">
        <v>15</v>
      </c>
      <c r="F785" t="s">
        <v>16</v>
      </c>
      <c r="G785" t="s">
        <v>17</v>
      </c>
      <c r="H785">
        <v>8</v>
      </c>
      <c r="I785">
        <v>740</v>
      </c>
      <c r="J785">
        <v>30</v>
      </c>
      <c r="K785">
        <v>4144</v>
      </c>
      <c r="L785" t="s">
        <v>18</v>
      </c>
      <c r="M785" s="2">
        <f>Table1[[#This Row],[Revenue_INR]]-Table1[[#This Row],[Price_INR]]</f>
        <v>3404</v>
      </c>
      <c r="N785">
        <f>YEAR(Table1[[#This Row],[Date]])</f>
        <v>2024</v>
      </c>
      <c r="O785" s="2">
        <f t="shared" si="48"/>
        <v>518</v>
      </c>
      <c r="P785" s="7">
        <f t="shared" si="49"/>
        <v>82.142857142857139</v>
      </c>
      <c r="Q785" s="2">
        <f t="shared" si="50"/>
        <v>1776</v>
      </c>
      <c r="R785" s="5" t="str">
        <f t="shared" si="51"/>
        <v>Below Average</v>
      </c>
      <c r="S785" s="5" t="str">
        <f>Table1[[#This Row],[Quarter]]&amp;" - "&amp;Table1[[#This Row],[City]]</f>
        <v>Q4 - Kolkata</v>
      </c>
    </row>
    <row r="786" spans="1:19" x14ac:dyDescent="0.3">
      <c r="A786" t="s">
        <v>856</v>
      </c>
      <c r="B786" s="1">
        <v>45584</v>
      </c>
      <c r="C786" t="s">
        <v>799</v>
      </c>
      <c r="D786" t="s">
        <v>800</v>
      </c>
      <c r="E786" t="s">
        <v>15</v>
      </c>
      <c r="F786" t="s">
        <v>47</v>
      </c>
      <c r="G786" t="s">
        <v>48</v>
      </c>
      <c r="H786">
        <v>12</v>
      </c>
      <c r="I786">
        <v>8090</v>
      </c>
      <c r="J786">
        <v>5</v>
      </c>
      <c r="K786">
        <v>92226</v>
      </c>
      <c r="L786" t="s">
        <v>53</v>
      </c>
      <c r="M786" s="2">
        <f>Table1[[#This Row],[Revenue_INR]]-Table1[[#This Row],[Price_INR]]</f>
        <v>84136</v>
      </c>
      <c r="N786">
        <f>YEAR(Table1[[#This Row],[Date]])</f>
        <v>2024</v>
      </c>
      <c r="O786" s="2">
        <f t="shared" si="48"/>
        <v>7685.5</v>
      </c>
      <c r="P786" s="7">
        <f t="shared" si="49"/>
        <v>91.228070175438589</v>
      </c>
      <c r="Q786" s="2">
        <f t="shared" si="50"/>
        <v>4854</v>
      </c>
      <c r="R786" s="5" t="str">
        <f t="shared" si="51"/>
        <v>Above Average</v>
      </c>
      <c r="S786" s="5" t="str">
        <f>Table1[[#This Row],[Quarter]]&amp;" - "&amp;Table1[[#This Row],[City]]</f>
        <v>Q4 - Kolkata</v>
      </c>
    </row>
    <row r="787" spans="1:19" x14ac:dyDescent="0.3">
      <c r="A787" t="s">
        <v>857</v>
      </c>
      <c r="B787" s="1">
        <v>45584</v>
      </c>
      <c r="C787" t="s">
        <v>799</v>
      </c>
      <c r="D787" t="s">
        <v>800</v>
      </c>
      <c r="E787" t="s">
        <v>20</v>
      </c>
      <c r="F787" t="s">
        <v>26</v>
      </c>
      <c r="G787" t="s">
        <v>58</v>
      </c>
      <c r="H787">
        <v>7</v>
      </c>
      <c r="I787">
        <v>9780</v>
      </c>
      <c r="J787">
        <v>20</v>
      </c>
      <c r="K787">
        <v>54768</v>
      </c>
      <c r="L787" t="s">
        <v>77</v>
      </c>
      <c r="M787" s="2">
        <f>Table1[[#This Row],[Revenue_INR]]-Table1[[#This Row],[Price_INR]]</f>
        <v>44988</v>
      </c>
      <c r="N787">
        <f>YEAR(Table1[[#This Row],[Date]])</f>
        <v>2024</v>
      </c>
      <c r="O787" s="2">
        <f t="shared" si="48"/>
        <v>7824</v>
      </c>
      <c r="P787" s="7">
        <f t="shared" si="49"/>
        <v>82.142857142857139</v>
      </c>
      <c r="Q787" s="2">
        <f t="shared" si="50"/>
        <v>13692</v>
      </c>
      <c r="R787" s="5" t="str">
        <f t="shared" si="51"/>
        <v>Above Average</v>
      </c>
      <c r="S787" s="5" t="str">
        <f>Table1[[#This Row],[Quarter]]&amp;" - "&amp;Table1[[#This Row],[City]]</f>
        <v>Q4 - Mumbai</v>
      </c>
    </row>
    <row r="788" spans="1:19" x14ac:dyDescent="0.3">
      <c r="A788" t="s">
        <v>858</v>
      </c>
      <c r="B788" s="1">
        <v>45585</v>
      </c>
      <c r="C788" t="s">
        <v>799</v>
      </c>
      <c r="D788" t="s">
        <v>800</v>
      </c>
      <c r="E788" t="s">
        <v>20</v>
      </c>
      <c r="F788" t="s">
        <v>47</v>
      </c>
      <c r="G788" t="s">
        <v>55</v>
      </c>
      <c r="H788">
        <v>10</v>
      </c>
      <c r="I788">
        <v>8030</v>
      </c>
      <c r="J788">
        <v>15</v>
      </c>
      <c r="K788">
        <v>68255</v>
      </c>
      <c r="L788" t="s">
        <v>23</v>
      </c>
      <c r="M788" s="2">
        <f>Table1[[#This Row],[Revenue_INR]]-Table1[[#This Row],[Price_INR]]</f>
        <v>60225</v>
      </c>
      <c r="N788">
        <f>YEAR(Table1[[#This Row],[Date]])</f>
        <v>2024</v>
      </c>
      <c r="O788" s="2">
        <f t="shared" si="48"/>
        <v>6825.5</v>
      </c>
      <c r="P788" s="7">
        <f t="shared" si="49"/>
        <v>88.235294117647058</v>
      </c>
      <c r="Q788" s="2">
        <f t="shared" si="50"/>
        <v>12045</v>
      </c>
      <c r="R788" s="5" t="str">
        <f t="shared" si="51"/>
        <v>Above Average</v>
      </c>
      <c r="S788" s="5" t="str">
        <f>Table1[[#This Row],[Quarter]]&amp;" - "&amp;Table1[[#This Row],[City]]</f>
        <v>Q4 - Mumbai</v>
      </c>
    </row>
    <row r="789" spans="1:19" x14ac:dyDescent="0.3">
      <c r="A789" t="s">
        <v>859</v>
      </c>
      <c r="B789" s="1">
        <v>45585</v>
      </c>
      <c r="C789" t="s">
        <v>799</v>
      </c>
      <c r="D789" t="s">
        <v>800</v>
      </c>
      <c r="E789" t="s">
        <v>20</v>
      </c>
      <c r="F789" t="s">
        <v>31</v>
      </c>
      <c r="G789" t="s">
        <v>131</v>
      </c>
      <c r="H789">
        <v>9</v>
      </c>
      <c r="I789">
        <v>3340</v>
      </c>
      <c r="J789">
        <v>15</v>
      </c>
      <c r="K789">
        <v>25551</v>
      </c>
      <c r="L789" t="s">
        <v>77</v>
      </c>
      <c r="M789" s="2">
        <f>Table1[[#This Row],[Revenue_INR]]-Table1[[#This Row],[Price_INR]]</f>
        <v>22211</v>
      </c>
      <c r="N789">
        <f>YEAR(Table1[[#This Row],[Date]])</f>
        <v>2024</v>
      </c>
      <c r="O789" s="2">
        <f t="shared" si="48"/>
        <v>2839</v>
      </c>
      <c r="P789" s="7">
        <f t="shared" si="49"/>
        <v>86.928104575163403</v>
      </c>
      <c r="Q789" s="2">
        <f t="shared" si="50"/>
        <v>4509</v>
      </c>
      <c r="R789" s="5" t="str">
        <f t="shared" si="51"/>
        <v>Above Average</v>
      </c>
      <c r="S789" s="5" t="str">
        <f>Table1[[#This Row],[Quarter]]&amp;" - "&amp;Table1[[#This Row],[City]]</f>
        <v>Q4 - Mumbai</v>
      </c>
    </row>
    <row r="790" spans="1:19" x14ac:dyDescent="0.3">
      <c r="A790" t="s">
        <v>860</v>
      </c>
      <c r="B790" s="1">
        <v>45585</v>
      </c>
      <c r="C790" t="s">
        <v>799</v>
      </c>
      <c r="D790" t="s">
        <v>800</v>
      </c>
      <c r="E790" t="s">
        <v>25</v>
      </c>
      <c r="F790" t="s">
        <v>26</v>
      </c>
      <c r="G790" t="s">
        <v>82</v>
      </c>
      <c r="H790">
        <v>9</v>
      </c>
      <c r="I790">
        <v>3050</v>
      </c>
      <c r="J790">
        <v>0</v>
      </c>
      <c r="K790">
        <v>27450</v>
      </c>
      <c r="L790" t="s">
        <v>42</v>
      </c>
      <c r="M790" s="2">
        <f>Table1[[#This Row],[Revenue_INR]]-Table1[[#This Row],[Price_INR]]</f>
        <v>24400</v>
      </c>
      <c r="N790">
        <f>YEAR(Table1[[#This Row],[Date]])</f>
        <v>2024</v>
      </c>
      <c r="O790" s="2">
        <f t="shared" si="48"/>
        <v>3050</v>
      </c>
      <c r="P790" s="7">
        <f t="shared" si="49"/>
        <v>88.888888888888886</v>
      </c>
      <c r="Q790" s="2">
        <f t="shared" si="50"/>
        <v>0</v>
      </c>
      <c r="R790" s="5" t="str">
        <f t="shared" si="51"/>
        <v>Above Average</v>
      </c>
      <c r="S790" s="5" t="str">
        <f>Table1[[#This Row],[Quarter]]&amp;" - "&amp;Table1[[#This Row],[City]]</f>
        <v>Q4 - Hyderabad</v>
      </c>
    </row>
    <row r="791" spans="1:19" x14ac:dyDescent="0.3">
      <c r="A791" t="s">
        <v>861</v>
      </c>
      <c r="B791" s="1">
        <v>45585</v>
      </c>
      <c r="C791" t="s">
        <v>799</v>
      </c>
      <c r="D791" t="s">
        <v>800</v>
      </c>
      <c r="E791" t="s">
        <v>34</v>
      </c>
      <c r="F791" t="s">
        <v>16</v>
      </c>
      <c r="G791" t="s">
        <v>17</v>
      </c>
      <c r="H791">
        <v>5</v>
      </c>
      <c r="I791">
        <v>1580</v>
      </c>
      <c r="J791">
        <v>30</v>
      </c>
      <c r="K791">
        <v>5530</v>
      </c>
      <c r="L791" t="s">
        <v>36</v>
      </c>
      <c r="M791" s="2">
        <f>Table1[[#This Row],[Revenue_INR]]-Table1[[#This Row],[Price_INR]]</f>
        <v>3950</v>
      </c>
      <c r="N791">
        <f>YEAR(Table1[[#This Row],[Date]])</f>
        <v>2024</v>
      </c>
      <c r="O791" s="2">
        <f t="shared" si="48"/>
        <v>1106</v>
      </c>
      <c r="P791" s="7">
        <f t="shared" si="49"/>
        <v>71.428571428571431</v>
      </c>
      <c r="Q791" s="2">
        <f t="shared" si="50"/>
        <v>2370</v>
      </c>
      <c r="R791" s="5" t="str">
        <f t="shared" si="51"/>
        <v>Below Average</v>
      </c>
      <c r="S791" s="5" t="str">
        <f>Table1[[#This Row],[Quarter]]&amp;" - "&amp;Table1[[#This Row],[City]]</f>
        <v>Q4 - Delhi</v>
      </c>
    </row>
    <row r="792" spans="1:19" x14ac:dyDescent="0.3">
      <c r="A792" t="s">
        <v>862</v>
      </c>
      <c r="B792" s="1">
        <v>45586</v>
      </c>
      <c r="C792" t="s">
        <v>799</v>
      </c>
      <c r="D792" t="s">
        <v>800</v>
      </c>
      <c r="E792" t="s">
        <v>15</v>
      </c>
      <c r="F792" t="s">
        <v>47</v>
      </c>
      <c r="G792" t="s">
        <v>55</v>
      </c>
      <c r="H792">
        <v>10</v>
      </c>
      <c r="I792">
        <v>3660</v>
      </c>
      <c r="J792">
        <v>10</v>
      </c>
      <c r="K792">
        <v>32940</v>
      </c>
      <c r="L792" t="s">
        <v>53</v>
      </c>
      <c r="M792" s="2">
        <f>Table1[[#This Row],[Revenue_INR]]-Table1[[#This Row],[Price_INR]]</f>
        <v>29280</v>
      </c>
      <c r="N792">
        <f>YEAR(Table1[[#This Row],[Date]])</f>
        <v>2024</v>
      </c>
      <c r="O792" s="2">
        <f t="shared" si="48"/>
        <v>3294</v>
      </c>
      <c r="P792" s="7">
        <f t="shared" si="49"/>
        <v>88.888888888888886</v>
      </c>
      <c r="Q792" s="2">
        <f t="shared" si="50"/>
        <v>3660</v>
      </c>
      <c r="R792" s="5" t="str">
        <f t="shared" si="51"/>
        <v>Above Average</v>
      </c>
      <c r="S792" s="5" t="str">
        <f>Table1[[#This Row],[Quarter]]&amp;" - "&amp;Table1[[#This Row],[City]]</f>
        <v>Q4 - Kolkata</v>
      </c>
    </row>
    <row r="793" spans="1:19" x14ac:dyDescent="0.3">
      <c r="A793" t="s">
        <v>863</v>
      </c>
      <c r="B793" s="1">
        <v>45586</v>
      </c>
      <c r="C793" t="s">
        <v>799</v>
      </c>
      <c r="D793" t="s">
        <v>800</v>
      </c>
      <c r="E793" t="s">
        <v>20</v>
      </c>
      <c r="F793" t="s">
        <v>21</v>
      </c>
      <c r="G793" t="s">
        <v>94</v>
      </c>
      <c r="H793">
        <v>1</v>
      </c>
      <c r="I793">
        <v>1090</v>
      </c>
      <c r="J793">
        <v>10</v>
      </c>
      <c r="K793">
        <v>981</v>
      </c>
      <c r="L793" t="s">
        <v>77</v>
      </c>
      <c r="M793" s="2">
        <f>Table1[[#This Row],[Revenue_INR]]-Table1[[#This Row],[Price_INR]]</f>
        <v>-109</v>
      </c>
      <c r="N793">
        <f>YEAR(Table1[[#This Row],[Date]])</f>
        <v>2024</v>
      </c>
      <c r="O793" s="2">
        <f t="shared" si="48"/>
        <v>981</v>
      </c>
      <c r="P793" s="7">
        <f t="shared" si="49"/>
        <v>-11.111111111111111</v>
      </c>
      <c r="Q793" s="2">
        <f t="shared" si="50"/>
        <v>109</v>
      </c>
      <c r="R793" s="5" t="str">
        <f t="shared" si="51"/>
        <v>Below Average</v>
      </c>
      <c r="S793" s="5" t="str">
        <f>Table1[[#This Row],[Quarter]]&amp;" - "&amp;Table1[[#This Row],[City]]</f>
        <v>Q4 - Mumbai</v>
      </c>
    </row>
    <row r="794" spans="1:19" x14ac:dyDescent="0.3">
      <c r="A794" t="s">
        <v>864</v>
      </c>
      <c r="B794" s="1">
        <v>45586</v>
      </c>
      <c r="C794" t="s">
        <v>799</v>
      </c>
      <c r="D794" t="s">
        <v>800</v>
      </c>
      <c r="E794" t="s">
        <v>20</v>
      </c>
      <c r="F794" t="s">
        <v>60</v>
      </c>
      <c r="G794" t="s">
        <v>85</v>
      </c>
      <c r="H794">
        <v>9</v>
      </c>
      <c r="I794">
        <v>2110</v>
      </c>
      <c r="J794">
        <v>0</v>
      </c>
      <c r="K794">
        <v>18990</v>
      </c>
      <c r="L794" t="s">
        <v>39</v>
      </c>
      <c r="M794" s="2">
        <f>Table1[[#This Row],[Revenue_INR]]-Table1[[#This Row],[Price_INR]]</f>
        <v>16880</v>
      </c>
      <c r="N794">
        <f>YEAR(Table1[[#This Row],[Date]])</f>
        <v>2024</v>
      </c>
      <c r="O794" s="2">
        <f t="shared" si="48"/>
        <v>2110</v>
      </c>
      <c r="P794" s="7">
        <f t="shared" si="49"/>
        <v>88.888888888888886</v>
      </c>
      <c r="Q794" s="2">
        <f t="shared" si="50"/>
        <v>0</v>
      </c>
      <c r="R794" s="5" t="str">
        <f t="shared" si="51"/>
        <v>Below Average</v>
      </c>
      <c r="S794" s="5" t="str">
        <f>Table1[[#This Row],[Quarter]]&amp;" - "&amp;Table1[[#This Row],[City]]</f>
        <v>Q4 - Mumbai</v>
      </c>
    </row>
    <row r="795" spans="1:19" x14ac:dyDescent="0.3">
      <c r="A795" t="s">
        <v>865</v>
      </c>
      <c r="B795" s="1">
        <v>45586</v>
      </c>
      <c r="C795" t="s">
        <v>799</v>
      </c>
      <c r="D795" t="s">
        <v>800</v>
      </c>
      <c r="E795" t="s">
        <v>34</v>
      </c>
      <c r="F795" t="s">
        <v>60</v>
      </c>
      <c r="G795" t="s">
        <v>61</v>
      </c>
      <c r="H795">
        <v>11</v>
      </c>
      <c r="I795">
        <v>1030</v>
      </c>
      <c r="J795">
        <v>30</v>
      </c>
      <c r="K795">
        <v>7931</v>
      </c>
      <c r="L795" t="s">
        <v>36</v>
      </c>
      <c r="M795" s="2">
        <f>Table1[[#This Row],[Revenue_INR]]-Table1[[#This Row],[Price_INR]]</f>
        <v>6901</v>
      </c>
      <c r="N795">
        <f>YEAR(Table1[[#This Row],[Date]])</f>
        <v>2024</v>
      </c>
      <c r="O795" s="2">
        <f t="shared" si="48"/>
        <v>721</v>
      </c>
      <c r="P795" s="7">
        <f t="shared" si="49"/>
        <v>87.012987012987011</v>
      </c>
      <c r="Q795" s="2">
        <f t="shared" si="50"/>
        <v>3399</v>
      </c>
      <c r="R795" s="5" t="str">
        <f t="shared" si="51"/>
        <v>Below Average</v>
      </c>
      <c r="S795" s="5" t="str">
        <f>Table1[[#This Row],[Quarter]]&amp;" - "&amp;Table1[[#This Row],[City]]</f>
        <v>Q4 - Delhi</v>
      </c>
    </row>
    <row r="796" spans="1:19" x14ac:dyDescent="0.3">
      <c r="A796" t="s">
        <v>866</v>
      </c>
      <c r="B796" s="1">
        <v>45587</v>
      </c>
      <c r="C796" t="s">
        <v>799</v>
      </c>
      <c r="D796" t="s">
        <v>800</v>
      </c>
      <c r="E796" t="s">
        <v>25</v>
      </c>
      <c r="F796" t="s">
        <v>26</v>
      </c>
      <c r="G796" t="s">
        <v>82</v>
      </c>
      <c r="H796">
        <v>15</v>
      </c>
      <c r="I796">
        <v>9820</v>
      </c>
      <c r="J796">
        <v>20</v>
      </c>
      <c r="K796">
        <v>117840</v>
      </c>
      <c r="L796" t="s">
        <v>28</v>
      </c>
      <c r="M796" s="2">
        <f>Table1[[#This Row],[Revenue_INR]]-Table1[[#This Row],[Price_INR]]</f>
        <v>108020</v>
      </c>
      <c r="N796">
        <f>YEAR(Table1[[#This Row],[Date]])</f>
        <v>2024</v>
      </c>
      <c r="O796" s="2">
        <f t="shared" si="48"/>
        <v>7856</v>
      </c>
      <c r="P796" s="7">
        <f t="shared" si="49"/>
        <v>91.666666666666657</v>
      </c>
      <c r="Q796" s="2">
        <f t="shared" si="50"/>
        <v>29460</v>
      </c>
      <c r="R796" s="5" t="str">
        <f t="shared" si="51"/>
        <v>Above Average</v>
      </c>
      <c r="S796" s="5" t="str">
        <f>Table1[[#This Row],[Quarter]]&amp;" - "&amp;Table1[[#This Row],[City]]</f>
        <v>Q4 - Hyderabad</v>
      </c>
    </row>
    <row r="797" spans="1:19" x14ac:dyDescent="0.3">
      <c r="A797" t="s">
        <v>867</v>
      </c>
      <c r="B797" s="1">
        <v>45587</v>
      </c>
      <c r="C797" t="s">
        <v>799</v>
      </c>
      <c r="D797" t="s">
        <v>800</v>
      </c>
      <c r="E797" t="s">
        <v>15</v>
      </c>
      <c r="F797" t="s">
        <v>31</v>
      </c>
      <c r="G797" t="s">
        <v>35</v>
      </c>
      <c r="H797">
        <v>8</v>
      </c>
      <c r="I797">
        <v>1510</v>
      </c>
      <c r="J797">
        <v>30</v>
      </c>
      <c r="K797">
        <v>8456</v>
      </c>
      <c r="L797" t="s">
        <v>18</v>
      </c>
      <c r="M797" s="2">
        <f>Table1[[#This Row],[Revenue_INR]]-Table1[[#This Row],[Price_INR]]</f>
        <v>6946</v>
      </c>
      <c r="N797">
        <f>YEAR(Table1[[#This Row],[Date]])</f>
        <v>2024</v>
      </c>
      <c r="O797" s="2">
        <f t="shared" si="48"/>
        <v>1057</v>
      </c>
      <c r="P797" s="7">
        <f t="shared" si="49"/>
        <v>82.142857142857139</v>
      </c>
      <c r="Q797" s="2">
        <f t="shared" si="50"/>
        <v>3624</v>
      </c>
      <c r="R797" s="5" t="str">
        <f t="shared" si="51"/>
        <v>Below Average</v>
      </c>
      <c r="S797" s="5" t="str">
        <f>Table1[[#This Row],[Quarter]]&amp;" - "&amp;Table1[[#This Row],[City]]</f>
        <v>Q4 - Kolkata</v>
      </c>
    </row>
    <row r="798" spans="1:19" x14ac:dyDescent="0.3">
      <c r="A798" t="s">
        <v>868</v>
      </c>
      <c r="B798" s="1">
        <v>45587</v>
      </c>
      <c r="C798" t="s">
        <v>799</v>
      </c>
      <c r="D798" t="s">
        <v>800</v>
      </c>
      <c r="E798" t="s">
        <v>20</v>
      </c>
      <c r="F798" t="s">
        <v>47</v>
      </c>
      <c r="G798" t="s">
        <v>48</v>
      </c>
      <c r="H798">
        <v>13</v>
      </c>
      <c r="I798">
        <v>3460</v>
      </c>
      <c r="J798">
        <v>5</v>
      </c>
      <c r="K798">
        <v>42731</v>
      </c>
      <c r="L798" t="s">
        <v>39</v>
      </c>
      <c r="M798" s="2">
        <f>Table1[[#This Row],[Revenue_INR]]-Table1[[#This Row],[Price_INR]]</f>
        <v>39271</v>
      </c>
      <c r="N798">
        <f>YEAR(Table1[[#This Row],[Date]])</f>
        <v>2024</v>
      </c>
      <c r="O798" s="2">
        <f t="shared" si="48"/>
        <v>3287</v>
      </c>
      <c r="P798" s="7">
        <f t="shared" si="49"/>
        <v>91.902834008097173</v>
      </c>
      <c r="Q798" s="2">
        <f t="shared" si="50"/>
        <v>2249</v>
      </c>
      <c r="R798" s="5" t="str">
        <f t="shared" si="51"/>
        <v>Above Average</v>
      </c>
      <c r="S798" s="5" t="str">
        <f>Table1[[#This Row],[Quarter]]&amp;" - "&amp;Table1[[#This Row],[City]]</f>
        <v>Q4 - Mumbai</v>
      </c>
    </row>
    <row r="799" spans="1:19" x14ac:dyDescent="0.3">
      <c r="A799" t="s">
        <v>869</v>
      </c>
      <c r="B799" s="1">
        <v>45588</v>
      </c>
      <c r="C799" t="s">
        <v>799</v>
      </c>
      <c r="D799" t="s">
        <v>800</v>
      </c>
      <c r="E799" t="s">
        <v>34</v>
      </c>
      <c r="F799" t="s">
        <v>60</v>
      </c>
      <c r="G799" t="s">
        <v>99</v>
      </c>
      <c r="H799">
        <v>14</v>
      </c>
      <c r="I799">
        <v>1980</v>
      </c>
      <c r="J799">
        <v>20</v>
      </c>
      <c r="K799">
        <v>22176</v>
      </c>
      <c r="L799" t="s">
        <v>36</v>
      </c>
      <c r="M799" s="2">
        <f>Table1[[#This Row],[Revenue_INR]]-Table1[[#This Row],[Price_INR]]</f>
        <v>20196</v>
      </c>
      <c r="N799">
        <f>YEAR(Table1[[#This Row],[Date]])</f>
        <v>2024</v>
      </c>
      <c r="O799" s="2">
        <f t="shared" si="48"/>
        <v>1584</v>
      </c>
      <c r="P799" s="7">
        <f t="shared" si="49"/>
        <v>91.071428571428569</v>
      </c>
      <c r="Q799" s="2">
        <f t="shared" si="50"/>
        <v>5544</v>
      </c>
      <c r="R799" s="5" t="str">
        <f t="shared" si="51"/>
        <v>Below Average</v>
      </c>
      <c r="S799" s="5" t="str">
        <f>Table1[[#This Row],[Quarter]]&amp;" - "&amp;Table1[[#This Row],[City]]</f>
        <v>Q4 - Delhi</v>
      </c>
    </row>
    <row r="800" spans="1:19" x14ac:dyDescent="0.3">
      <c r="A800" t="s">
        <v>870</v>
      </c>
      <c r="B800" s="1">
        <v>45588</v>
      </c>
      <c r="C800" t="s">
        <v>799</v>
      </c>
      <c r="D800" t="s">
        <v>800</v>
      </c>
      <c r="E800" t="s">
        <v>25</v>
      </c>
      <c r="F800" t="s">
        <v>47</v>
      </c>
      <c r="G800" t="s">
        <v>55</v>
      </c>
      <c r="H800">
        <v>10</v>
      </c>
      <c r="I800">
        <v>8590</v>
      </c>
      <c r="J800">
        <v>5</v>
      </c>
      <c r="K800">
        <v>81605</v>
      </c>
      <c r="L800" t="s">
        <v>66</v>
      </c>
      <c r="M800" s="2">
        <f>Table1[[#This Row],[Revenue_INR]]-Table1[[#This Row],[Price_INR]]</f>
        <v>73015</v>
      </c>
      <c r="N800">
        <f>YEAR(Table1[[#This Row],[Date]])</f>
        <v>2024</v>
      </c>
      <c r="O800" s="2">
        <f t="shared" si="48"/>
        <v>8160.5</v>
      </c>
      <c r="P800" s="7">
        <f t="shared" si="49"/>
        <v>89.473684210526315</v>
      </c>
      <c r="Q800" s="2">
        <f t="shared" si="50"/>
        <v>4295</v>
      </c>
      <c r="R800" s="5" t="str">
        <f t="shared" si="51"/>
        <v>Above Average</v>
      </c>
      <c r="S800" s="5" t="str">
        <f>Table1[[#This Row],[Quarter]]&amp;" - "&amp;Table1[[#This Row],[City]]</f>
        <v>Q4 - Hyderabad</v>
      </c>
    </row>
    <row r="801" spans="1:19" x14ac:dyDescent="0.3">
      <c r="A801" t="s">
        <v>871</v>
      </c>
      <c r="B801" s="1">
        <v>45588</v>
      </c>
      <c r="C801" t="s">
        <v>799</v>
      </c>
      <c r="D801" t="s">
        <v>800</v>
      </c>
      <c r="E801" t="s">
        <v>20</v>
      </c>
      <c r="F801" t="s">
        <v>21</v>
      </c>
      <c r="G801" t="s">
        <v>71</v>
      </c>
      <c r="H801">
        <v>10</v>
      </c>
      <c r="I801">
        <v>2050</v>
      </c>
      <c r="J801">
        <v>30</v>
      </c>
      <c r="K801">
        <v>14350</v>
      </c>
      <c r="L801" t="s">
        <v>23</v>
      </c>
      <c r="M801" s="2">
        <f>Table1[[#This Row],[Revenue_INR]]-Table1[[#This Row],[Price_INR]]</f>
        <v>12300</v>
      </c>
      <c r="N801">
        <f>YEAR(Table1[[#This Row],[Date]])</f>
        <v>2024</v>
      </c>
      <c r="O801" s="2">
        <f t="shared" si="48"/>
        <v>1435</v>
      </c>
      <c r="P801" s="7">
        <f t="shared" si="49"/>
        <v>85.714285714285708</v>
      </c>
      <c r="Q801" s="2">
        <f t="shared" si="50"/>
        <v>6150</v>
      </c>
      <c r="R801" s="5" t="str">
        <f t="shared" si="51"/>
        <v>Below Average</v>
      </c>
      <c r="S801" s="5" t="str">
        <f>Table1[[#This Row],[Quarter]]&amp;" - "&amp;Table1[[#This Row],[City]]</f>
        <v>Q4 - Mumbai</v>
      </c>
    </row>
    <row r="802" spans="1:19" x14ac:dyDescent="0.3">
      <c r="A802" t="s">
        <v>872</v>
      </c>
      <c r="B802" s="1">
        <v>45588</v>
      </c>
      <c r="C802" t="s">
        <v>799</v>
      </c>
      <c r="D802" t="s">
        <v>800</v>
      </c>
      <c r="E802" t="s">
        <v>25</v>
      </c>
      <c r="F802" t="s">
        <v>47</v>
      </c>
      <c r="G802" t="s">
        <v>55</v>
      </c>
      <c r="H802">
        <v>9</v>
      </c>
      <c r="I802">
        <v>6790</v>
      </c>
      <c r="J802">
        <v>30</v>
      </c>
      <c r="K802">
        <v>42777</v>
      </c>
      <c r="L802" t="s">
        <v>28</v>
      </c>
      <c r="M802" s="2">
        <f>Table1[[#This Row],[Revenue_INR]]-Table1[[#This Row],[Price_INR]]</f>
        <v>35987</v>
      </c>
      <c r="N802">
        <f>YEAR(Table1[[#This Row],[Date]])</f>
        <v>2024</v>
      </c>
      <c r="O802" s="2">
        <f t="shared" si="48"/>
        <v>4753</v>
      </c>
      <c r="P802" s="7">
        <f t="shared" si="49"/>
        <v>84.126984126984127</v>
      </c>
      <c r="Q802" s="2">
        <f t="shared" si="50"/>
        <v>18333</v>
      </c>
      <c r="R802" s="5" t="str">
        <f t="shared" si="51"/>
        <v>Above Average</v>
      </c>
      <c r="S802" s="5" t="str">
        <f>Table1[[#This Row],[Quarter]]&amp;" - "&amp;Table1[[#This Row],[City]]</f>
        <v>Q4 - Hyderabad</v>
      </c>
    </row>
    <row r="803" spans="1:19" x14ac:dyDescent="0.3">
      <c r="A803" t="s">
        <v>873</v>
      </c>
      <c r="B803" s="1">
        <v>45588</v>
      </c>
      <c r="C803" t="s">
        <v>799</v>
      </c>
      <c r="D803" t="s">
        <v>800</v>
      </c>
      <c r="E803" t="s">
        <v>20</v>
      </c>
      <c r="F803" t="s">
        <v>26</v>
      </c>
      <c r="G803" t="s">
        <v>58</v>
      </c>
      <c r="H803">
        <v>11</v>
      </c>
      <c r="I803">
        <v>4550</v>
      </c>
      <c r="J803">
        <v>30</v>
      </c>
      <c r="K803">
        <v>35035</v>
      </c>
      <c r="L803" t="s">
        <v>77</v>
      </c>
      <c r="M803" s="2">
        <f>Table1[[#This Row],[Revenue_INR]]-Table1[[#This Row],[Price_INR]]</f>
        <v>30485</v>
      </c>
      <c r="N803">
        <f>YEAR(Table1[[#This Row],[Date]])</f>
        <v>2024</v>
      </c>
      <c r="O803" s="2">
        <f t="shared" si="48"/>
        <v>3185</v>
      </c>
      <c r="P803" s="7">
        <f t="shared" si="49"/>
        <v>87.012987012987011</v>
      </c>
      <c r="Q803" s="2">
        <f t="shared" si="50"/>
        <v>15015</v>
      </c>
      <c r="R803" s="5" t="str">
        <f t="shared" si="51"/>
        <v>Above Average</v>
      </c>
      <c r="S803" s="5" t="str">
        <f>Table1[[#This Row],[Quarter]]&amp;" - "&amp;Table1[[#This Row],[City]]</f>
        <v>Q4 - Mumbai</v>
      </c>
    </row>
    <row r="804" spans="1:19" x14ac:dyDescent="0.3">
      <c r="A804" t="s">
        <v>874</v>
      </c>
      <c r="B804" s="1">
        <v>45589</v>
      </c>
      <c r="C804" t="s">
        <v>799</v>
      </c>
      <c r="D804" t="s">
        <v>800</v>
      </c>
      <c r="E804" t="s">
        <v>25</v>
      </c>
      <c r="F804" t="s">
        <v>16</v>
      </c>
      <c r="G804" t="s">
        <v>17</v>
      </c>
      <c r="H804">
        <v>8</v>
      </c>
      <c r="I804">
        <v>1790</v>
      </c>
      <c r="J804">
        <v>5</v>
      </c>
      <c r="K804">
        <v>13604</v>
      </c>
      <c r="L804" t="s">
        <v>42</v>
      </c>
      <c r="M804" s="2">
        <f>Table1[[#This Row],[Revenue_INR]]-Table1[[#This Row],[Price_INR]]</f>
        <v>11814</v>
      </c>
      <c r="N804">
        <f>YEAR(Table1[[#This Row],[Date]])</f>
        <v>2024</v>
      </c>
      <c r="O804" s="2">
        <f t="shared" si="48"/>
        <v>1700.5</v>
      </c>
      <c r="P804" s="7">
        <f t="shared" si="49"/>
        <v>86.842105263157904</v>
      </c>
      <c r="Q804" s="2">
        <f t="shared" si="50"/>
        <v>716</v>
      </c>
      <c r="R804" s="5" t="str">
        <f t="shared" si="51"/>
        <v>Below Average</v>
      </c>
      <c r="S804" s="5" t="str">
        <f>Table1[[#This Row],[Quarter]]&amp;" - "&amp;Table1[[#This Row],[City]]</f>
        <v>Q4 - Hyderabad</v>
      </c>
    </row>
    <row r="805" spans="1:19" x14ac:dyDescent="0.3">
      <c r="A805" t="s">
        <v>875</v>
      </c>
      <c r="B805" s="1">
        <v>45589</v>
      </c>
      <c r="C805" t="s">
        <v>799</v>
      </c>
      <c r="D805" t="s">
        <v>800</v>
      </c>
      <c r="E805" t="s">
        <v>34</v>
      </c>
      <c r="F805" t="s">
        <v>26</v>
      </c>
      <c r="G805" t="s">
        <v>80</v>
      </c>
      <c r="H805">
        <v>3</v>
      </c>
      <c r="I805">
        <v>7280</v>
      </c>
      <c r="J805">
        <v>20</v>
      </c>
      <c r="K805">
        <v>17472</v>
      </c>
      <c r="L805" t="s">
        <v>45</v>
      </c>
      <c r="M805" s="2">
        <f>Table1[[#This Row],[Revenue_INR]]-Table1[[#This Row],[Price_INR]]</f>
        <v>10192</v>
      </c>
      <c r="N805">
        <f>YEAR(Table1[[#This Row],[Date]])</f>
        <v>2024</v>
      </c>
      <c r="O805" s="2">
        <f t="shared" si="48"/>
        <v>5824</v>
      </c>
      <c r="P805" s="7">
        <f t="shared" si="49"/>
        <v>58.333333333333336</v>
      </c>
      <c r="Q805" s="2">
        <f t="shared" si="50"/>
        <v>4368</v>
      </c>
      <c r="R805" s="5" t="str">
        <f t="shared" si="51"/>
        <v>Below Average</v>
      </c>
      <c r="S805" s="5" t="str">
        <f>Table1[[#This Row],[Quarter]]&amp;" - "&amp;Table1[[#This Row],[City]]</f>
        <v>Q4 - Delhi</v>
      </c>
    </row>
    <row r="806" spans="1:19" x14ac:dyDescent="0.3">
      <c r="A806" t="s">
        <v>876</v>
      </c>
      <c r="B806" s="1">
        <v>45589</v>
      </c>
      <c r="C806" t="s">
        <v>799</v>
      </c>
      <c r="D806" t="s">
        <v>800</v>
      </c>
      <c r="E806" t="s">
        <v>34</v>
      </c>
      <c r="F806" t="s">
        <v>21</v>
      </c>
      <c r="G806" t="s">
        <v>71</v>
      </c>
      <c r="H806">
        <v>5</v>
      </c>
      <c r="I806">
        <v>2670</v>
      </c>
      <c r="J806">
        <v>25</v>
      </c>
      <c r="K806">
        <v>10012.5</v>
      </c>
      <c r="L806" t="s">
        <v>49</v>
      </c>
      <c r="M806" s="2">
        <f>Table1[[#This Row],[Revenue_INR]]-Table1[[#This Row],[Price_INR]]</f>
        <v>7342.5</v>
      </c>
      <c r="N806">
        <f>YEAR(Table1[[#This Row],[Date]])</f>
        <v>2024</v>
      </c>
      <c r="O806" s="2">
        <f t="shared" si="48"/>
        <v>2002.5</v>
      </c>
      <c r="P806" s="7">
        <f t="shared" si="49"/>
        <v>73.333333333333329</v>
      </c>
      <c r="Q806" s="2">
        <f t="shared" si="50"/>
        <v>3337.5</v>
      </c>
      <c r="R806" s="5" t="str">
        <f t="shared" si="51"/>
        <v>Below Average</v>
      </c>
      <c r="S806" s="5" t="str">
        <f>Table1[[#This Row],[Quarter]]&amp;" - "&amp;Table1[[#This Row],[City]]</f>
        <v>Q4 - Delhi</v>
      </c>
    </row>
    <row r="807" spans="1:19" x14ac:dyDescent="0.3">
      <c r="A807" t="s">
        <v>877</v>
      </c>
      <c r="B807" s="1">
        <v>45589</v>
      </c>
      <c r="C807" t="s">
        <v>799</v>
      </c>
      <c r="D807" t="s">
        <v>800</v>
      </c>
      <c r="E807" t="s">
        <v>25</v>
      </c>
      <c r="F807" t="s">
        <v>26</v>
      </c>
      <c r="G807" t="s">
        <v>80</v>
      </c>
      <c r="H807">
        <v>12</v>
      </c>
      <c r="I807">
        <v>8960</v>
      </c>
      <c r="J807">
        <v>30</v>
      </c>
      <c r="K807">
        <v>75264</v>
      </c>
      <c r="L807" t="s">
        <v>66</v>
      </c>
      <c r="M807" s="2">
        <f>Table1[[#This Row],[Revenue_INR]]-Table1[[#This Row],[Price_INR]]</f>
        <v>66304</v>
      </c>
      <c r="N807">
        <f>YEAR(Table1[[#This Row],[Date]])</f>
        <v>2024</v>
      </c>
      <c r="O807" s="2">
        <f t="shared" si="48"/>
        <v>6272</v>
      </c>
      <c r="P807" s="7">
        <f t="shared" si="49"/>
        <v>88.095238095238088</v>
      </c>
      <c r="Q807" s="2">
        <f t="shared" si="50"/>
        <v>32256</v>
      </c>
      <c r="R807" s="5" t="str">
        <f t="shared" si="51"/>
        <v>Above Average</v>
      </c>
      <c r="S807" s="5" t="str">
        <f>Table1[[#This Row],[Quarter]]&amp;" - "&amp;Table1[[#This Row],[City]]</f>
        <v>Q4 - Hyderabad</v>
      </c>
    </row>
    <row r="808" spans="1:19" x14ac:dyDescent="0.3">
      <c r="A808" t="s">
        <v>878</v>
      </c>
      <c r="B808" s="1">
        <v>45589</v>
      </c>
      <c r="C808" t="s">
        <v>799</v>
      </c>
      <c r="D808" t="s">
        <v>800</v>
      </c>
      <c r="E808" t="s">
        <v>20</v>
      </c>
      <c r="F808" t="s">
        <v>31</v>
      </c>
      <c r="G808" t="s">
        <v>131</v>
      </c>
      <c r="H808">
        <v>4</v>
      </c>
      <c r="I808">
        <v>2250</v>
      </c>
      <c r="J808">
        <v>25</v>
      </c>
      <c r="K808">
        <v>6750</v>
      </c>
      <c r="L808" t="s">
        <v>23</v>
      </c>
      <c r="M808" s="2">
        <f>Table1[[#This Row],[Revenue_INR]]-Table1[[#This Row],[Price_INR]]</f>
        <v>4500</v>
      </c>
      <c r="N808">
        <f>YEAR(Table1[[#This Row],[Date]])</f>
        <v>2024</v>
      </c>
      <c r="O808" s="2">
        <f t="shared" si="48"/>
        <v>1687.5</v>
      </c>
      <c r="P808" s="7">
        <f t="shared" si="49"/>
        <v>66.666666666666657</v>
      </c>
      <c r="Q808" s="2">
        <f t="shared" si="50"/>
        <v>2250</v>
      </c>
      <c r="R808" s="5" t="str">
        <f t="shared" si="51"/>
        <v>Below Average</v>
      </c>
      <c r="S808" s="5" t="str">
        <f>Table1[[#This Row],[Quarter]]&amp;" - "&amp;Table1[[#This Row],[City]]</f>
        <v>Q4 - Mumbai</v>
      </c>
    </row>
    <row r="809" spans="1:19" x14ac:dyDescent="0.3">
      <c r="A809" t="s">
        <v>879</v>
      </c>
      <c r="B809" s="1">
        <v>45590</v>
      </c>
      <c r="C809" t="s">
        <v>799</v>
      </c>
      <c r="D809" t="s">
        <v>800</v>
      </c>
      <c r="E809" t="s">
        <v>34</v>
      </c>
      <c r="F809" t="s">
        <v>31</v>
      </c>
      <c r="G809" t="s">
        <v>35</v>
      </c>
      <c r="H809">
        <v>12</v>
      </c>
      <c r="I809">
        <v>3020</v>
      </c>
      <c r="J809">
        <v>0</v>
      </c>
      <c r="K809">
        <v>36240</v>
      </c>
      <c r="L809" t="s">
        <v>36</v>
      </c>
      <c r="M809" s="2">
        <f>Table1[[#This Row],[Revenue_INR]]-Table1[[#This Row],[Price_INR]]</f>
        <v>33220</v>
      </c>
      <c r="N809">
        <f>YEAR(Table1[[#This Row],[Date]])</f>
        <v>2024</v>
      </c>
      <c r="O809" s="2">
        <f t="shared" si="48"/>
        <v>3020</v>
      </c>
      <c r="P809" s="7">
        <f t="shared" si="49"/>
        <v>91.666666666666657</v>
      </c>
      <c r="Q809" s="2">
        <f t="shared" si="50"/>
        <v>0</v>
      </c>
      <c r="R809" s="5" t="str">
        <f t="shared" si="51"/>
        <v>Above Average</v>
      </c>
      <c r="S809" s="5" t="str">
        <f>Table1[[#This Row],[Quarter]]&amp;" - "&amp;Table1[[#This Row],[City]]</f>
        <v>Q4 - Delhi</v>
      </c>
    </row>
    <row r="810" spans="1:19" x14ac:dyDescent="0.3">
      <c r="A810" t="s">
        <v>880</v>
      </c>
      <c r="B810" s="1">
        <v>45590</v>
      </c>
      <c r="C810" t="s">
        <v>799</v>
      </c>
      <c r="D810" t="s">
        <v>800</v>
      </c>
      <c r="E810" t="s">
        <v>15</v>
      </c>
      <c r="F810" t="s">
        <v>21</v>
      </c>
      <c r="G810" t="s">
        <v>22</v>
      </c>
      <c r="H810">
        <v>10</v>
      </c>
      <c r="I810">
        <v>3040</v>
      </c>
      <c r="J810">
        <v>5</v>
      </c>
      <c r="K810">
        <v>28880</v>
      </c>
      <c r="L810" t="s">
        <v>92</v>
      </c>
      <c r="M810" s="2">
        <f>Table1[[#This Row],[Revenue_INR]]-Table1[[#This Row],[Price_INR]]</f>
        <v>25840</v>
      </c>
      <c r="N810">
        <f>YEAR(Table1[[#This Row],[Date]])</f>
        <v>2024</v>
      </c>
      <c r="O810" s="2">
        <f t="shared" si="48"/>
        <v>2888</v>
      </c>
      <c r="P810" s="7">
        <f t="shared" si="49"/>
        <v>89.473684210526315</v>
      </c>
      <c r="Q810" s="2">
        <f t="shared" si="50"/>
        <v>1520</v>
      </c>
      <c r="R810" s="5" t="str">
        <f t="shared" si="51"/>
        <v>Above Average</v>
      </c>
      <c r="S810" s="5" t="str">
        <f>Table1[[#This Row],[Quarter]]&amp;" - "&amp;Table1[[#This Row],[City]]</f>
        <v>Q4 - Kolkata</v>
      </c>
    </row>
    <row r="811" spans="1:19" x14ac:dyDescent="0.3">
      <c r="A811" t="s">
        <v>881</v>
      </c>
      <c r="B811" s="1">
        <v>45590</v>
      </c>
      <c r="C811" t="s">
        <v>799</v>
      </c>
      <c r="D811" t="s">
        <v>800</v>
      </c>
      <c r="E811" t="s">
        <v>15</v>
      </c>
      <c r="F811" t="s">
        <v>21</v>
      </c>
      <c r="G811" t="s">
        <v>71</v>
      </c>
      <c r="H811">
        <v>6</v>
      </c>
      <c r="I811">
        <v>2830</v>
      </c>
      <c r="J811">
        <v>10</v>
      </c>
      <c r="K811">
        <v>15282</v>
      </c>
      <c r="L811" t="s">
        <v>18</v>
      </c>
      <c r="M811" s="2">
        <f>Table1[[#This Row],[Revenue_INR]]-Table1[[#This Row],[Price_INR]]</f>
        <v>12452</v>
      </c>
      <c r="N811">
        <f>YEAR(Table1[[#This Row],[Date]])</f>
        <v>2024</v>
      </c>
      <c r="O811" s="2">
        <f t="shared" si="48"/>
        <v>2547</v>
      </c>
      <c r="P811" s="7">
        <f t="shared" si="49"/>
        <v>81.481481481481481</v>
      </c>
      <c r="Q811" s="2">
        <f t="shared" si="50"/>
        <v>1698</v>
      </c>
      <c r="R811" s="5" t="str">
        <f t="shared" si="51"/>
        <v>Below Average</v>
      </c>
      <c r="S811" s="5" t="str">
        <f>Table1[[#This Row],[Quarter]]&amp;" - "&amp;Table1[[#This Row],[City]]</f>
        <v>Q4 - Kolkata</v>
      </c>
    </row>
    <row r="812" spans="1:19" x14ac:dyDescent="0.3">
      <c r="A812" t="s">
        <v>882</v>
      </c>
      <c r="B812" s="1">
        <v>45590</v>
      </c>
      <c r="C812" t="s">
        <v>799</v>
      </c>
      <c r="D812" t="s">
        <v>800</v>
      </c>
      <c r="E812" t="s">
        <v>34</v>
      </c>
      <c r="F812" t="s">
        <v>60</v>
      </c>
      <c r="G812" t="s">
        <v>99</v>
      </c>
      <c r="H812">
        <v>11</v>
      </c>
      <c r="I812">
        <v>700</v>
      </c>
      <c r="J812">
        <v>5</v>
      </c>
      <c r="K812">
        <v>7315</v>
      </c>
      <c r="L812" t="s">
        <v>36</v>
      </c>
      <c r="M812" s="2">
        <f>Table1[[#This Row],[Revenue_INR]]-Table1[[#This Row],[Price_INR]]</f>
        <v>6615</v>
      </c>
      <c r="N812">
        <f>YEAR(Table1[[#This Row],[Date]])</f>
        <v>2024</v>
      </c>
      <c r="O812" s="2">
        <f t="shared" si="48"/>
        <v>665</v>
      </c>
      <c r="P812" s="7">
        <f t="shared" si="49"/>
        <v>90.430622009569376</v>
      </c>
      <c r="Q812" s="2">
        <f t="shared" si="50"/>
        <v>385</v>
      </c>
      <c r="R812" s="5" t="str">
        <f t="shared" si="51"/>
        <v>Below Average</v>
      </c>
      <c r="S812" s="5" t="str">
        <f>Table1[[#This Row],[Quarter]]&amp;" - "&amp;Table1[[#This Row],[City]]</f>
        <v>Q4 - Delhi</v>
      </c>
    </row>
    <row r="813" spans="1:19" x14ac:dyDescent="0.3">
      <c r="A813" t="s">
        <v>883</v>
      </c>
      <c r="B813" s="1">
        <v>45590</v>
      </c>
      <c r="C813" t="s">
        <v>799</v>
      </c>
      <c r="D813" t="s">
        <v>800</v>
      </c>
      <c r="E813" t="s">
        <v>20</v>
      </c>
      <c r="F813" t="s">
        <v>16</v>
      </c>
      <c r="G813" t="s">
        <v>44</v>
      </c>
      <c r="H813">
        <v>14</v>
      </c>
      <c r="I813">
        <v>1770</v>
      </c>
      <c r="J813">
        <v>10</v>
      </c>
      <c r="K813">
        <v>22302</v>
      </c>
      <c r="L813" t="s">
        <v>77</v>
      </c>
      <c r="M813" s="2">
        <f>Table1[[#This Row],[Revenue_INR]]-Table1[[#This Row],[Price_INR]]</f>
        <v>20532</v>
      </c>
      <c r="N813">
        <f>YEAR(Table1[[#This Row],[Date]])</f>
        <v>2024</v>
      </c>
      <c r="O813" s="2">
        <f t="shared" si="48"/>
        <v>1593</v>
      </c>
      <c r="P813" s="7">
        <f t="shared" si="49"/>
        <v>92.063492063492063</v>
      </c>
      <c r="Q813" s="2">
        <f t="shared" si="50"/>
        <v>2478</v>
      </c>
      <c r="R813" s="5" t="str">
        <f t="shared" si="51"/>
        <v>Below Average</v>
      </c>
      <c r="S813" s="5" t="str">
        <f>Table1[[#This Row],[Quarter]]&amp;" - "&amp;Table1[[#This Row],[City]]</f>
        <v>Q4 - Mumbai</v>
      </c>
    </row>
    <row r="814" spans="1:19" x14ac:dyDescent="0.3">
      <c r="A814" t="s">
        <v>884</v>
      </c>
      <c r="B814" s="1">
        <v>45590</v>
      </c>
      <c r="C814" t="s">
        <v>799</v>
      </c>
      <c r="D814" t="s">
        <v>800</v>
      </c>
      <c r="E814" t="s">
        <v>15</v>
      </c>
      <c r="F814" t="s">
        <v>60</v>
      </c>
      <c r="G814" t="s">
        <v>124</v>
      </c>
      <c r="H814">
        <v>10</v>
      </c>
      <c r="I814">
        <v>880</v>
      </c>
      <c r="J814">
        <v>20</v>
      </c>
      <c r="K814">
        <v>7040</v>
      </c>
      <c r="L814" t="s">
        <v>92</v>
      </c>
      <c r="M814" s="2">
        <f>Table1[[#This Row],[Revenue_INR]]-Table1[[#This Row],[Price_INR]]</f>
        <v>6160</v>
      </c>
      <c r="N814">
        <f>YEAR(Table1[[#This Row],[Date]])</f>
        <v>2024</v>
      </c>
      <c r="O814" s="2">
        <f t="shared" si="48"/>
        <v>704</v>
      </c>
      <c r="P814" s="7">
        <f t="shared" si="49"/>
        <v>87.5</v>
      </c>
      <c r="Q814" s="2">
        <f t="shared" si="50"/>
        <v>1760</v>
      </c>
      <c r="R814" s="5" t="str">
        <f t="shared" si="51"/>
        <v>Below Average</v>
      </c>
      <c r="S814" s="5" t="str">
        <f>Table1[[#This Row],[Quarter]]&amp;" - "&amp;Table1[[#This Row],[City]]</f>
        <v>Q4 - Kolkata</v>
      </c>
    </row>
    <row r="815" spans="1:19" x14ac:dyDescent="0.3">
      <c r="A815" t="s">
        <v>885</v>
      </c>
      <c r="B815" s="1">
        <v>45591</v>
      </c>
      <c r="C815" t="s">
        <v>799</v>
      </c>
      <c r="D815" t="s">
        <v>800</v>
      </c>
      <c r="E815" t="s">
        <v>20</v>
      </c>
      <c r="F815" t="s">
        <v>47</v>
      </c>
      <c r="G815" t="s">
        <v>48</v>
      </c>
      <c r="H815">
        <v>11</v>
      </c>
      <c r="I815">
        <v>6710</v>
      </c>
      <c r="J815">
        <v>10</v>
      </c>
      <c r="K815">
        <v>66429</v>
      </c>
      <c r="L815" t="s">
        <v>23</v>
      </c>
      <c r="M815" s="2">
        <f>Table1[[#This Row],[Revenue_INR]]-Table1[[#This Row],[Price_INR]]</f>
        <v>59719</v>
      </c>
      <c r="N815">
        <f>YEAR(Table1[[#This Row],[Date]])</f>
        <v>2024</v>
      </c>
      <c r="O815" s="2">
        <f t="shared" si="48"/>
        <v>6039</v>
      </c>
      <c r="P815" s="7">
        <f t="shared" si="49"/>
        <v>89.898989898989896</v>
      </c>
      <c r="Q815" s="2">
        <f t="shared" si="50"/>
        <v>7381</v>
      </c>
      <c r="R815" s="5" t="str">
        <f t="shared" si="51"/>
        <v>Above Average</v>
      </c>
      <c r="S815" s="5" t="str">
        <f>Table1[[#This Row],[Quarter]]&amp;" - "&amp;Table1[[#This Row],[City]]</f>
        <v>Q4 - Mumbai</v>
      </c>
    </row>
    <row r="816" spans="1:19" x14ac:dyDescent="0.3">
      <c r="A816" t="s">
        <v>886</v>
      </c>
      <c r="B816" s="1">
        <v>45592</v>
      </c>
      <c r="C816" t="s">
        <v>799</v>
      </c>
      <c r="D816" t="s">
        <v>800</v>
      </c>
      <c r="E816" t="s">
        <v>15</v>
      </c>
      <c r="F816" t="s">
        <v>26</v>
      </c>
      <c r="G816" t="s">
        <v>27</v>
      </c>
      <c r="H816">
        <v>10</v>
      </c>
      <c r="I816">
        <v>8360</v>
      </c>
      <c r="J816">
        <v>15</v>
      </c>
      <c r="K816">
        <v>71060</v>
      </c>
      <c r="L816" t="s">
        <v>92</v>
      </c>
      <c r="M816" s="2">
        <f>Table1[[#This Row],[Revenue_INR]]-Table1[[#This Row],[Price_INR]]</f>
        <v>62700</v>
      </c>
      <c r="N816">
        <f>YEAR(Table1[[#This Row],[Date]])</f>
        <v>2024</v>
      </c>
      <c r="O816" s="2">
        <f t="shared" si="48"/>
        <v>7106</v>
      </c>
      <c r="P816" s="7">
        <f t="shared" si="49"/>
        <v>88.235294117647058</v>
      </c>
      <c r="Q816" s="2">
        <f t="shared" si="50"/>
        <v>12540</v>
      </c>
      <c r="R816" s="5" t="str">
        <f t="shared" si="51"/>
        <v>Above Average</v>
      </c>
      <c r="S816" s="5" t="str">
        <f>Table1[[#This Row],[Quarter]]&amp;" - "&amp;Table1[[#This Row],[City]]</f>
        <v>Q4 - Kolkata</v>
      </c>
    </row>
    <row r="817" spans="1:19" x14ac:dyDescent="0.3">
      <c r="A817" t="s">
        <v>887</v>
      </c>
      <c r="B817" s="1">
        <v>45592</v>
      </c>
      <c r="C817" t="s">
        <v>799</v>
      </c>
      <c r="D817" t="s">
        <v>800</v>
      </c>
      <c r="E817" t="s">
        <v>15</v>
      </c>
      <c r="F817" t="s">
        <v>31</v>
      </c>
      <c r="G817" t="s">
        <v>35</v>
      </c>
      <c r="H817">
        <v>6</v>
      </c>
      <c r="I817">
        <v>4900</v>
      </c>
      <c r="J817">
        <v>25</v>
      </c>
      <c r="K817">
        <v>22050</v>
      </c>
      <c r="L817" t="s">
        <v>18</v>
      </c>
      <c r="M817" s="2">
        <f>Table1[[#This Row],[Revenue_INR]]-Table1[[#This Row],[Price_INR]]</f>
        <v>17150</v>
      </c>
      <c r="N817">
        <f>YEAR(Table1[[#This Row],[Date]])</f>
        <v>2024</v>
      </c>
      <c r="O817" s="2">
        <f t="shared" si="48"/>
        <v>3675</v>
      </c>
      <c r="P817" s="7">
        <f t="shared" si="49"/>
        <v>77.777777777777786</v>
      </c>
      <c r="Q817" s="2">
        <f t="shared" si="50"/>
        <v>7350</v>
      </c>
      <c r="R817" s="5" t="str">
        <f t="shared" si="51"/>
        <v>Below Average</v>
      </c>
      <c r="S817" s="5" t="str">
        <f>Table1[[#This Row],[Quarter]]&amp;" - "&amp;Table1[[#This Row],[City]]</f>
        <v>Q4 - Kolkata</v>
      </c>
    </row>
    <row r="818" spans="1:19" x14ac:dyDescent="0.3">
      <c r="A818" t="s">
        <v>888</v>
      </c>
      <c r="B818" s="1">
        <v>45592</v>
      </c>
      <c r="C818" t="s">
        <v>799</v>
      </c>
      <c r="D818" t="s">
        <v>800</v>
      </c>
      <c r="E818" t="s">
        <v>25</v>
      </c>
      <c r="F818" t="s">
        <v>16</v>
      </c>
      <c r="G818" t="s">
        <v>41</v>
      </c>
      <c r="H818">
        <v>7</v>
      </c>
      <c r="I818">
        <v>2270</v>
      </c>
      <c r="J818">
        <v>5</v>
      </c>
      <c r="K818">
        <v>15095.5</v>
      </c>
      <c r="L818" t="s">
        <v>66</v>
      </c>
      <c r="M818" s="2">
        <f>Table1[[#This Row],[Revenue_INR]]-Table1[[#This Row],[Price_INR]]</f>
        <v>12825.5</v>
      </c>
      <c r="N818">
        <f>YEAR(Table1[[#This Row],[Date]])</f>
        <v>2024</v>
      </c>
      <c r="O818" s="2">
        <f t="shared" si="48"/>
        <v>2156.5</v>
      </c>
      <c r="P818" s="7">
        <f t="shared" si="49"/>
        <v>84.962406015037601</v>
      </c>
      <c r="Q818" s="2">
        <f t="shared" si="50"/>
        <v>794.5</v>
      </c>
      <c r="R818" s="5" t="str">
        <f t="shared" si="51"/>
        <v>Below Average</v>
      </c>
      <c r="S818" s="5" t="str">
        <f>Table1[[#This Row],[Quarter]]&amp;" - "&amp;Table1[[#This Row],[City]]</f>
        <v>Q4 - Hyderabad</v>
      </c>
    </row>
    <row r="819" spans="1:19" x14ac:dyDescent="0.3">
      <c r="A819" t="s">
        <v>889</v>
      </c>
      <c r="B819" s="1">
        <v>45593</v>
      </c>
      <c r="C819" t="s">
        <v>799</v>
      </c>
      <c r="D819" t="s">
        <v>800</v>
      </c>
      <c r="E819" t="s">
        <v>15</v>
      </c>
      <c r="F819" t="s">
        <v>16</v>
      </c>
      <c r="G819" t="s">
        <v>44</v>
      </c>
      <c r="H819">
        <v>4</v>
      </c>
      <c r="I819">
        <v>1290</v>
      </c>
      <c r="J819">
        <v>30</v>
      </c>
      <c r="K819">
        <v>3612</v>
      </c>
      <c r="L819" t="s">
        <v>18</v>
      </c>
      <c r="M819" s="2">
        <f>Table1[[#This Row],[Revenue_INR]]-Table1[[#This Row],[Price_INR]]</f>
        <v>2322</v>
      </c>
      <c r="N819">
        <f>YEAR(Table1[[#This Row],[Date]])</f>
        <v>2024</v>
      </c>
      <c r="O819" s="2">
        <f t="shared" si="48"/>
        <v>903</v>
      </c>
      <c r="P819" s="7">
        <f t="shared" si="49"/>
        <v>64.285714285714292</v>
      </c>
      <c r="Q819" s="2">
        <f t="shared" si="50"/>
        <v>1548</v>
      </c>
      <c r="R819" s="5" t="str">
        <f t="shared" si="51"/>
        <v>Below Average</v>
      </c>
      <c r="S819" s="5" t="str">
        <f>Table1[[#This Row],[Quarter]]&amp;" - "&amp;Table1[[#This Row],[City]]</f>
        <v>Q4 - Kolkata</v>
      </c>
    </row>
    <row r="820" spans="1:19" x14ac:dyDescent="0.3">
      <c r="A820" t="s">
        <v>890</v>
      </c>
      <c r="B820" s="1">
        <v>45593</v>
      </c>
      <c r="C820" t="s">
        <v>799</v>
      </c>
      <c r="D820" t="s">
        <v>800</v>
      </c>
      <c r="E820" t="s">
        <v>25</v>
      </c>
      <c r="F820" t="s">
        <v>47</v>
      </c>
      <c r="G820" t="s">
        <v>48</v>
      </c>
      <c r="H820">
        <v>13</v>
      </c>
      <c r="I820">
        <v>4740</v>
      </c>
      <c r="J820">
        <v>25</v>
      </c>
      <c r="K820">
        <v>46215</v>
      </c>
      <c r="L820" t="s">
        <v>66</v>
      </c>
      <c r="M820" s="2">
        <f>Table1[[#This Row],[Revenue_INR]]-Table1[[#This Row],[Price_INR]]</f>
        <v>41475</v>
      </c>
      <c r="N820">
        <f>YEAR(Table1[[#This Row],[Date]])</f>
        <v>2024</v>
      </c>
      <c r="O820" s="2">
        <f t="shared" si="48"/>
        <v>3555</v>
      </c>
      <c r="P820" s="7">
        <f t="shared" si="49"/>
        <v>89.743589743589752</v>
      </c>
      <c r="Q820" s="2">
        <f t="shared" si="50"/>
        <v>15405</v>
      </c>
      <c r="R820" s="5" t="str">
        <f t="shared" si="51"/>
        <v>Above Average</v>
      </c>
      <c r="S820" s="5" t="str">
        <f>Table1[[#This Row],[Quarter]]&amp;" - "&amp;Table1[[#This Row],[City]]</f>
        <v>Q4 - Hyderabad</v>
      </c>
    </row>
    <row r="821" spans="1:19" x14ac:dyDescent="0.3">
      <c r="A821" t="s">
        <v>891</v>
      </c>
      <c r="B821" s="1">
        <v>45593</v>
      </c>
      <c r="C821" t="s">
        <v>799</v>
      </c>
      <c r="D821" t="s">
        <v>800</v>
      </c>
      <c r="E821" t="s">
        <v>34</v>
      </c>
      <c r="F821" t="s">
        <v>60</v>
      </c>
      <c r="G821" t="s">
        <v>124</v>
      </c>
      <c r="H821">
        <v>4</v>
      </c>
      <c r="I821">
        <v>2200</v>
      </c>
      <c r="J821">
        <v>15</v>
      </c>
      <c r="K821">
        <v>7480</v>
      </c>
      <c r="L821" t="s">
        <v>49</v>
      </c>
      <c r="M821" s="2">
        <f>Table1[[#This Row],[Revenue_INR]]-Table1[[#This Row],[Price_INR]]</f>
        <v>5280</v>
      </c>
      <c r="N821">
        <f>YEAR(Table1[[#This Row],[Date]])</f>
        <v>2024</v>
      </c>
      <c r="O821" s="2">
        <f t="shared" si="48"/>
        <v>1870</v>
      </c>
      <c r="P821" s="7">
        <f t="shared" si="49"/>
        <v>70.588235294117652</v>
      </c>
      <c r="Q821" s="2">
        <f t="shared" si="50"/>
        <v>1320</v>
      </c>
      <c r="R821" s="5" t="str">
        <f t="shared" si="51"/>
        <v>Below Average</v>
      </c>
      <c r="S821" s="5" t="str">
        <f>Table1[[#This Row],[Quarter]]&amp;" - "&amp;Table1[[#This Row],[City]]</f>
        <v>Q4 - Delhi</v>
      </c>
    </row>
    <row r="822" spans="1:19" x14ac:dyDescent="0.3">
      <c r="A822" t="s">
        <v>892</v>
      </c>
      <c r="B822" s="1">
        <v>45595</v>
      </c>
      <c r="C822" t="s">
        <v>799</v>
      </c>
      <c r="D822" t="s">
        <v>800</v>
      </c>
      <c r="E822" t="s">
        <v>20</v>
      </c>
      <c r="F822" t="s">
        <v>60</v>
      </c>
      <c r="G822" t="s">
        <v>124</v>
      </c>
      <c r="H822">
        <v>12</v>
      </c>
      <c r="I822">
        <v>1340</v>
      </c>
      <c r="J822">
        <v>20</v>
      </c>
      <c r="K822">
        <v>12864</v>
      </c>
      <c r="L822" t="s">
        <v>77</v>
      </c>
      <c r="M822" s="2">
        <f>Table1[[#This Row],[Revenue_INR]]-Table1[[#This Row],[Price_INR]]</f>
        <v>11524</v>
      </c>
      <c r="N822">
        <f>YEAR(Table1[[#This Row],[Date]])</f>
        <v>2024</v>
      </c>
      <c r="O822" s="2">
        <f t="shared" si="48"/>
        <v>1072</v>
      </c>
      <c r="P822" s="7">
        <f t="shared" si="49"/>
        <v>89.583333333333343</v>
      </c>
      <c r="Q822" s="2">
        <f t="shared" si="50"/>
        <v>3216</v>
      </c>
      <c r="R822" s="5" t="str">
        <f t="shared" si="51"/>
        <v>Below Average</v>
      </c>
      <c r="S822" s="5" t="str">
        <f>Table1[[#This Row],[Quarter]]&amp;" - "&amp;Table1[[#This Row],[City]]</f>
        <v>Q4 - Mumbai</v>
      </c>
    </row>
    <row r="823" spans="1:19" x14ac:dyDescent="0.3">
      <c r="A823" t="s">
        <v>893</v>
      </c>
      <c r="B823" s="1">
        <v>45596</v>
      </c>
      <c r="C823" t="s">
        <v>799</v>
      </c>
      <c r="D823" t="s">
        <v>800</v>
      </c>
      <c r="E823" t="s">
        <v>15</v>
      </c>
      <c r="F823" t="s">
        <v>47</v>
      </c>
      <c r="G823" t="s">
        <v>48</v>
      </c>
      <c r="H823">
        <v>6</v>
      </c>
      <c r="I823">
        <v>4440</v>
      </c>
      <c r="J823">
        <v>10</v>
      </c>
      <c r="K823">
        <v>23976</v>
      </c>
      <c r="L823" t="s">
        <v>18</v>
      </c>
      <c r="M823" s="2">
        <f>Table1[[#This Row],[Revenue_INR]]-Table1[[#This Row],[Price_INR]]</f>
        <v>19536</v>
      </c>
      <c r="N823">
        <f>YEAR(Table1[[#This Row],[Date]])</f>
        <v>2024</v>
      </c>
      <c r="O823" s="2">
        <f t="shared" si="48"/>
        <v>3996</v>
      </c>
      <c r="P823" s="7">
        <f t="shared" si="49"/>
        <v>81.481481481481481</v>
      </c>
      <c r="Q823" s="2">
        <f t="shared" si="50"/>
        <v>2664</v>
      </c>
      <c r="R823" s="5" t="str">
        <f t="shared" si="51"/>
        <v>Below Average</v>
      </c>
      <c r="S823" s="5" t="str">
        <f>Table1[[#This Row],[Quarter]]&amp;" - "&amp;Table1[[#This Row],[City]]</f>
        <v>Q4 - Kolkata</v>
      </c>
    </row>
    <row r="824" spans="1:19" x14ac:dyDescent="0.3">
      <c r="A824" t="s">
        <v>894</v>
      </c>
      <c r="B824" s="1">
        <v>45596</v>
      </c>
      <c r="C824" t="s">
        <v>799</v>
      </c>
      <c r="D824" t="s">
        <v>800</v>
      </c>
      <c r="E824" t="s">
        <v>25</v>
      </c>
      <c r="F824" t="s">
        <v>21</v>
      </c>
      <c r="G824" t="s">
        <v>94</v>
      </c>
      <c r="H824">
        <v>12</v>
      </c>
      <c r="I824">
        <v>2450</v>
      </c>
      <c r="J824">
        <v>25</v>
      </c>
      <c r="K824">
        <v>22050</v>
      </c>
      <c r="L824" t="s">
        <v>66</v>
      </c>
      <c r="M824" s="2">
        <f>Table1[[#This Row],[Revenue_INR]]-Table1[[#This Row],[Price_INR]]</f>
        <v>19600</v>
      </c>
      <c r="N824">
        <f>YEAR(Table1[[#This Row],[Date]])</f>
        <v>2024</v>
      </c>
      <c r="O824" s="2">
        <f t="shared" si="48"/>
        <v>1837.5</v>
      </c>
      <c r="P824" s="7">
        <f t="shared" si="49"/>
        <v>88.888888888888886</v>
      </c>
      <c r="Q824" s="2">
        <f t="shared" si="50"/>
        <v>7350</v>
      </c>
      <c r="R824" s="5" t="str">
        <f t="shared" si="51"/>
        <v>Below Average</v>
      </c>
      <c r="S824" s="5" t="str">
        <f>Table1[[#This Row],[Quarter]]&amp;" - "&amp;Table1[[#This Row],[City]]</f>
        <v>Q4 - Hyderabad</v>
      </c>
    </row>
    <row r="825" spans="1:19" x14ac:dyDescent="0.3">
      <c r="A825" t="s">
        <v>895</v>
      </c>
      <c r="B825" s="1">
        <v>45597</v>
      </c>
      <c r="C825" t="s">
        <v>896</v>
      </c>
      <c r="D825" t="s">
        <v>800</v>
      </c>
      <c r="E825" t="s">
        <v>20</v>
      </c>
      <c r="F825" t="s">
        <v>26</v>
      </c>
      <c r="G825" t="s">
        <v>82</v>
      </c>
      <c r="H825">
        <v>1</v>
      </c>
      <c r="I825">
        <v>2920</v>
      </c>
      <c r="J825">
        <v>20</v>
      </c>
      <c r="K825">
        <v>2336</v>
      </c>
      <c r="L825" t="s">
        <v>23</v>
      </c>
      <c r="M825" s="2">
        <f>Table1[[#This Row],[Revenue_INR]]-Table1[[#This Row],[Price_INR]]</f>
        <v>-584</v>
      </c>
      <c r="N825">
        <f>YEAR(Table1[[#This Row],[Date]])</f>
        <v>2024</v>
      </c>
      <c r="O825" s="2">
        <f t="shared" si="48"/>
        <v>2336</v>
      </c>
      <c r="P825" s="7">
        <f t="shared" si="49"/>
        <v>-25</v>
      </c>
      <c r="Q825" s="2">
        <f t="shared" si="50"/>
        <v>584</v>
      </c>
      <c r="R825" s="5" t="str">
        <f t="shared" si="51"/>
        <v>Below Average</v>
      </c>
      <c r="S825" s="5" t="str">
        <f>Table1[[#This Row],[Quarter]]&amp;" - "&amp;Table1[[#This Row],[City]]</f>
        <v>Q4 - Mumbai</v>
      </c>
    </row>
    <row r="826" spans="1:19" x14ac:dyDescent="0.3">
      <c r="A826" t="s">
        <v>897</v>
      </c>
      <c r="B826" s="1">
        <v>45597</v>
      </c>
      <c r="C826" t="s">
        <v>896</v>
      </c>
      <c r="D826" t="s">
        <v>800</v>
      </c>
      <c r="E826" t="s">
        <v>34</v>
      </c>
      <c r="F826" t="s">
        <v>47</v>
      </c>
      <c r="G826" t="s">
        <v>51</v>
      </c>
      <c r="H826">
        <v>15</v>
      </c>
      <c r="I826">
        <v>2280</v>
      </c>
      <c r="J826">
        <v>10</v>
      </c>
      <c r="K826">
        <v>30780</v>
      </c>
      <c r="L826" t="s">
        <v>45</v>
      </c>
      <c r="M826" s="2">
        <f>Table1[[#This Row],[Revenue_INR]]-Table1[[#This Row],[Price_INR]]</f>
        <v>28500</v>
      </c>
      <c r="N826">
        <f>YEAR(Table1[[#This Row],[Date]])</f>
        <v>2024</v>
      </c>
      <c r="O826" s="2">
        <f t="shared" si="48"/>
        <v>2052</v>
      </c>
      <c r="P826" s="7">
        <f t="shared" si="49"/>
        <v>92.592592592592595</v>
      </c>
      <c r="Q826" s="2">
        <f t="shared" si="50"/>
        <v>3420</v>
      </c>
      <c r="R826" s="5" t="str">
        <f t="shared" si="51"/>
        <v>Above Average</v>
      </c>
      <c r="S826" s="5" t="str">
        <f>Table1[[#This Row],[Quarter]]&amp;" - "&amp;Table1[[#This Row],[City]]</f>
        <v>Q4 - Delhi</v>
      </c>
    </row>
    <row r="827" spans="1:19" x14ac:dyDescent="0.3">
      <c r="A827" t="s">
        <v>898</v>
      </c>
      <c r="B827" s="1">
        <v>45597</v>
      </c>
      <c r="C827" t="s">
        <v>896</v>
      </c>
      <c r="D827" t="s">
        <v>800</v>
      </c>
      <c r="E827" t="s">
        <v>25</v>
      </c>
      <c r="F827" t="s">
        <v>47</v>
      </c>
      <c r="G827" t="s">
        <v>55</v>
      </c>
      <c r="H827">
        <v>8</v>
      </c>
      <c r="I827">
        <v>8330</v>
      </c>
      <c r="J827">
        <v>30</v>
      </c>
      <c r="K827">
        <v>46648</v>
      </c>
      <c r="L827" t="s">
        <v>66</v>
      </c>
      <c r="M827" s="2">
        <f>Table1[[#This Row],[Revenue_INR]]-Table1[[#This Row],[Price_INR]]</f>
        <v>38318</v>
      </c>
      <c r="N827">
        <f>YEAR(Table1[[#This Row],[Date]])</f>
        <v>2024</v>
      </c>
      <c r="O827" s="2">
        <f t="shared" si="48"/>
        <v>5831</v>
      </c>
      <c r="P827" s="7">
        <f t="shared" si="49"/>
        <v>82.142857142857139</v>
      </c>
      <c r="Q827" s="2">
        <f t="shared" si="50"/>
        <v>19992</v>
      </c>
      <c r="R827" s="5" t="str">
        <f t="shared" si="51"/>
        <v>Above Average</v>
      </c>
      <c r="S827" s="5" t="str">
        <f>Table1[[#This Row],[Quarter]]&amp;" - "&amp;Table1[[#This Row],[City]]</f>
        <v>Q4 - Hyderabad</v>
      </c>
    </row>
    <row r="828" spans="1:19" x14ac:dyDescent="0.3">
      <c r="A828" t="s">
        <v>899</v>
      </c>
      <c r="B828" s="1">
        <v>45597</v>
      </c>
      <c r="C828" t="s">
        <v>896</v>
      </c>
      <c r="D828" t="s">
        <v>800</v>
      </c>
      <c r="E828" t="s">
        <v>20</v>
      </c>
      <c r="F828" t="s">
        <v>26</v>
      </c>
      <c r="G828" t="s">
        <v>27</v>
      </c>
      <c r="H828">
        <v>10</v>
      </c>
      <c r="I828">
        <v>8460</v>
      </c>
      <c r="J828">
        <v>5</v>
      </c>
      <c r="K828">
        <v>80370</v>
      </c>
      <c r="L828" t="s">
        <v>39</v>
      </c>
      <c r="M828" s="2">
        <f>Table1[[#This Row],[Revenue_INR]]-Table1[[#This Row],[Price_INR]]</f>
        <v>71910</v>
      </c>
      <c r="N828">
        <f>YEAR(Table1[[#This Row],[Date]])</f>
        <v>2024</v>
      </c>
      <c r="O828" s="2">
        <f t="shared" si="48"/>
        <v>8037</v>
      </c>
      <c r="P828" s="7">
        <f t="shared" si="49"/>
        <v>89.473684210526315</v>
      </c>
      <c r="Q828" s="2">
        <f t="shared" si="50"/>
        <v>4230</v>
      </c>
      <c r="R828" s="5" t="str">
        <f t="shared" si="51"/>
        <v>Above Average</v>
      </c>
      <c r="S828" s="5" t="str">
        <f>Table1[[#This Row],[Quarter]]&amp;" - "&amp;Table1[[#This Row],[City]]</f>
        <v>Q4 - Mumbai</v>
      </c>
    </row>
    <row r="829" spans="1:19" x14ac:dyDescent="0.3">
      <c r="A829" t="s">
        <v>900</v>
      </c>
      <c r="B829" s="1">
        <v>45598</v>
      </c>
      <c r="C829" t="s">
        <v>896</v>
      </c>
      <c r="D829" t="s">
        <v>800</v>
      </c>
      <c r="E829" t="s">
        <v>20</v>
      </c>
      <c r="F829" t="s">
        <v>47</v>
      </c>
      <c r="G829" t="s">
        <v>51</v>
      </c>
      <c r="H829">
        <v>7</v>
      </c>
      <c r="I829">
        <v>4160</v>
      </c>
      <c r="J829">
        <v>0</v>
      </c>
      <c r="K829">
        <v>29120</v>
      </c>
      <c r="L829" t="s">
        <v>39</v>
      </c>
      <c r="M829" s="2">
        <f>Table1[[#This Row],[Revenue_INR]]-Table1[[#This Row],[Price_INR]]</f>
        <v>24960</v>
      </c>
      <c r="N829">
        <f>YEAR(Table1[[#This Row],[Date]])</f>
        <v>2024</v>
      </c>
      <c r="O829" s="2">
        <f t="shared" si="48"/>
        <v>4160</v>
      </c>
      <c r="P829" s="7">
        <f t="shared" si="49"/>
        <v>85.714285714285708</v>
      </c>
      <c r="Q829" s="2">
        <f t="shared" si="50"/>
        <v>0</v>
      </c>
      <c r="R829" s="5" t="str">
        <f t="shared" si="51"/>
        <v>Above Average</v>
      </c>
      <c r="S829" s="5" t="str">
        <f>Table1[[#This Row],[Quarter]]&amp;" - "&amp;Table1[[#This Row],[City]]</f>
        <v>Q4 - Mumbai</v>
      </c>
    </row>
    <row r="830" spans="1:19" x14ac:dyDescent="0.3">
      <c r="A830" t="s">
        <v>901</v>
      </c>
      <c r="B830" s="1">
        <v>45598</v>
      </c>
      <c r="C830" t="s">
        <v>896</v>
      </c>
      <c r="D830" t="s">
        <v>800</v>
      </c>
      <c r="E830" t="s">
        <v>20</v>
      </c>
      <c r="F830" t="s">
        <v>21</v>
      </c>
      <c r="G830" t="s">
        <v>94</v>
      </c>
      <c r="H830">
        <v>9</v>
      </c>
      <c r="I830">
        <v>3290</v>
      </c>
      <c r="J830">
        <v>15</v>
      </c>
      <c r="K830">
        <v>25168.5</v>
      </c>
      <c r="L830" t="s">
        <v>77</v>
      </c>
      <c r="M830" s="2">
        <f>Table1[[#This Row],[Revenue_INR]]-Table1[[#This Row],[Price_INR]]</f>
        <v>21878.5</v>
      </c>
      <c r="N830">
        <f>YEAR(Table1[[#This Row],[Date]])</f>
        <v>2024</v>
      </c>
      <c r="O830" s="2">
        <f t="shared" si="48"/>
        <v>2796.5</v>
      </c>
      <c r="P830" s="7">
        <f t="shared" si="49"/>
        <v>86.928104575163403</v>
      </c>
      <c r="Q830" s="2">
        <f t="shared" si="50"/>
        <v>4441.5</v>
      </c>
      <c r="R830" s="5" t="str">
        <f t="shared" si="51"/>
        <v>Above Average</v>
      </c>
      <c r="S830" s="5" t="str">
        <f>Table1[[#This Row],[Quarter]]&amp;" - "&amp;Table1[[#This Row],[City]]</f>
        <v>Q4 - Mumbai</v>
      </c>
    </row>
    <row r="831" spans="1:19" x14ac:dyDescent="0.3">
      <c r="A831" t="s">
        <v>902</v>
      </c>
      <c r="B831" s="1">
        <v>45598</v>
      </c>
      <c r="C831" t="s">
        <v>896</v>
      </c>
      <c r="D831" t="s">
        <v>800</v>
      </c>
      <c r="E831" t="s">
        <v>25</v>
      </c>
      <c r="F831" t="s">
        <v>26</v>
      </c>
      <c r="G831" t="s">
        <v>27</v>
      </c>
      <c r="H831">
        <v>8</v>
      </c>
      <c r="I831">
        <v>5220</v>
      </c>
      <c r="J831">
        <v>10</v>
      </c>
      <c r="K831">
        <v>37584</v>
      </c>
      <c r="L831" t="s">
        <v>66</v>
      </c>
      <c r="M831" s="2">
        <f>Table1[[#This Row],[Revenue_INR]]-Table1[[#This Row],[Price_INR]]</f>
        <v>32364</v>
      </c>
      <c r="N831">
        <f>YEAR(Table1[[#This Row],[Date]])</f>
        <v>2024</v>
      </c>
      <c r="O831" s="2">
        <f t="shared" si="48"/>
        <v>4698</v>
      </c>
      <c r="P831" s="7">
        <f t="shared" si="49"/>
        <v>86.111111111111114</v>
      </c>
      <c r="Q831" s="2">
        <f t="shared" si="50"/>
        <v>4176</v>
      </c>
      <c r="R831" s="5" t="str">
        <f t="shared" si="51"/>
        <v>Above Average</v>
      </c>
      <c r="S831" s="5" t="str">
        <f>Table1[[#This Row],[Quarter]]&amp;" - "&amp;Table1[[#This Row],[City]]</f>
        <v>Q4 - Hyderabad</v>
      </c>
    </row>
    <row r="832" spans="1:19" x14ac:dyDescent="0.3">
      <c r="A832" t="s">
        <v>903</v>
      </c>
      <c r="B832" s="1">
        <v>45599</v>
      </c>
      <c r="C832" t="s">
        <v>896</v>
      </c>
      <c r="D832" t="s">
        <v>800</v>
      </c>
      <c r="E832" t="s">
        <v>15</v>
      </c>
      <c r="F832" t="s">
        <v>21</v>
      </c>
      <c r="G832" t="s">
        <v>75</v>
      </c>
      <c r="H832">
        <v>15</v>
      </c>
      <c r="I832">
        <v>1280</v>
      </c>
      <c r="J832">
        <v>20</v>
      </c>
      <c r="K832">
        <v>15360</v>
      </c>
      <c r="L832" t="s">
        <v>92</v>
      </c>
      <c r="M832" s="2">
        <f>Table1[[#This Row],[Revenue_INR]]-Table1[[#This Row],[Price_INR]]</f>
        <v>14080</v>
      </c>
      <c r="N832">
        <f>YEAR(Table1[[#This Row],[Date]])</f>
        <v>2024</v>
      </c>
      <c r="O832" s="2">
        <f t="shared" si="48"/>
        <v>1024</v>
      </c>
      <c r="P832" s="7">
        <f t="shared" si="49"/>
        <v>91.666666666666657</v>
      </c>
      <c r="Q832" s="2">
        <f t="shared" si="50"/>
        <v>3840</v>
      </c>
      <c r="R832" s="5" t="str">
        <f t="shared" si="51"/>
        <v>Below Average</v>
      </c>
      <c r="S832" s="5" t="str">
        <f>Table1[[#This Row],[Quarter]]&amp;" - "&amp;Table1[[#This Row],[City]]</f>
        <v>Q4 - Kolkata</v>
      </c>
    </row>
    <row r="833" spans="1:19" x14ac:dyDescent="0.3">
      <c r="A833" t="s">
        <v>904</v>
      </c>
      <c r="B833" s="1">
        <v>45600</v>
      </c>
      <c r="C833" t="s">
        <v>896</v>
      </c>
      <c r="D833" t="s">
        <v>800</v>
      </c>
      <c r="E833" t="s">
        <v>34</v>
      </c>
      <c r="F833" t="s">
        <v>16</v>
      </c>
      <c r="G833" t="s">
        <v>69</v>
      </c>
      <c r="H833">
        <v>13</v>
      </c>
      <c r="I833">
        <v>2340</v>
      </c>
      <c r="J833">
        <v>0</v>
      </c>
      <c r="K833">
        <v>30420</v>
      </c>
      <c r="L833" t="s">
        <v>45</v>
      </c>
      <c r="M833" s="2">
        <f>Table1[[#This Row],[Revenue_INR]]-Table1[[#This Row],[Price_INR]]</f>
        <v>28080</v>
      </c>
      <c r="N833">
        <f>YEAR(Table1[[#This Row],[Date]])</f>
        <v>2024</v>
      </c>
      <c r="O833" s="2">
        <f t="shared" si="48"/>
        <v>2340</v>
      </c>
      <c r="P833" s="7">
        <f t="shared" si="49"/>
        <v>92.307692307692307</v>
      </c>
      <c r="Q833" s="2">
        <f t="shared" si="50"/>
        <v>0</v>
      </c>
      <c r="R833" s="5" t="str">
        <f t="shared" si="51"/>
        <v>Above Average</v>
      </c>
      <c r="S833" s="5" t="str">
        <f>Table1[[#This Row],[Quarter]]&amp;" - "&amp;Table1[[#This Row],[City]]</f>
        <v>Q4 - Delhi</v>
      </c>
    </row>
    <row r="834" spans="1:19" x14ac:dyDescent="0.3">
      <c r="A834" t="s">
        <v>905</v>
      </c>
      <c r="B834" s="1">
        <v>45601</v>
      </c>
      <c r="C834" t="s">
        <v>896</v>
      </c>
      <c r="D834" t="s">
        <v>800</v>
      </c>
      <c r="E834" t="s">
        <v>25</v>
      </c>
      <c r="F834" t="s">
        <v>31</v>
      </c>
      <c r="G834" t="s">
        <v>38</v>
      </c>
      <c r="H834">
        <v>12</v>
      </c>
      <c r="I834">
        <v>4260</v>
      </c>
      <c r="J834">
        <v>10</v>
      </c>
      <c r="K834">
        <v>46008</v>
      </c>
      <c r="L834" t="s">
        <v>66</v>
      </c>
      <c r="M834" s="2">
        <f>Table1[[#This Row],[Revenue_INR]]-Table1[[#This Row],[Price_INR]]</f>
        <v>41748</v>
      </c>
      <c r="N834">
        <f>YEAR(Table1[[#This Row],[Date]])</f>
        <v>2024</v>
      </c>
      <c r="O834" s="2">
        <f t="shared" ref="O834:O897" si="52">K834/H834</f>
        <v>3834</v>
      </c>
      <c r="P834" s="7">
        <f t="shared" ref="P834:P897" si="53">M834/K834*100</f>
        <v>90.740740740740748</v>
      </c>
      <c r="Q834" s="2">
        <f t="shared" ref="Q834:Q897" si="54">I834*H834*J834/100</f>
        <v>5112</v>
      </c>
      <c r="R834" s="5" t="str">
        <f t="shared" ref="R834:R897" si="55">IF(K834&gt;AVERAGE($K$2:$K$1001),"Above Average","Below Average")</f>
        <v>Above Average</v>
      </c>
      <c r="S834" s="5" t="str">
        <f>Table1[[#This Row],[Quarter]]&amp;" - "&amp;Table1[[#This Row],[City]]</f>
        <v>Q4 - Hyderabad</v>
      </c>
    </row>
    <row r="835" spans="1:19" x14ac:dyDescent="0.3">
      <c r="A835" t="s">
        <v>906</v>
      </c>
      <c r="B835" s="1">
        <v>45601</v>
      </c>
      <c r="C835" t="s">
        <v>896</v>
      </c>
      <c r="D835" t="s">
        <v>800</v>
      </c>
      <c r="E835" t="s">
        <v>25</v>
      </c>
      <c r="F835" t="s">
        <v>26</v>
      </c>
      <c r="G835" t="s">
        <v>80</v>
      </c>
      <c r="H835">
        <v>2</v>
      </c>
      <c r="I835">
        <v>9640</v>
      </c>
      <c r="J835">
        <v>0</v>
      </c>
      <c r="K835">
        <v>19280</v>
      </c>
      <c r="L835" t="s">
        <v>42</v>
      </c>
      <c r="M835" s="2">
        <f>Table1[[#This Row],[Revenue_INR]]-Table1[[#This Row],[Price_INR]]</f>
        <v>9640</v>
      </c>
      <c r="N835">
        <f>YEAR(Table1[[#This Row],[Date]])</f>
        <v>2024</v>
      </c>
      <c r="O835" s="2">
        <f t="shared" si="52"/>
        <v>9640</v>
      </c>
      <c r="P835" s="7">
        <f t="shared" si="53"/>
        <v>50</v>
      </c>
      <c r="Q835" s="2">
        <f t="shared" si="54"/>
        <v>0</v>
      </c>
      <c r="R835" s="5" t="str">
        <f t="shared" si="55"/>
        <v>Below Average</v>
      </c>
      <c r="S835" s="5" t="str">
        <f>Table1[[#This Row],[Quarter]]&amp;" - "&amp;Table1[[#This Row],[City]]</f>
        <v>Q4 - Hyderabad</v>
      </c>
    </row>
    <row r="836" spans="1:19" x14ac:dyDescent="0.3">
      <c r="A836" t="s">
        <v>907</v>
      </c>
      <c r="B836" s="1">
        <v>45601</v>
      </c>
      <c r="C836" t="s">
        <v>896</v>
      </c>
      <c r="D836" t="s">
        <v>800</v>
      </c>
      <c r="E836" t="s">
        <v>20</v>
      </c>
      <c r="F836" t="s">
        <v>26</v>
      </c>
      <c r="G836" t="s">
        <v>58</v>
      </c>
      <c r="H836">
        <v>6</v>
      </c>
      <c r="I836">
        <v>3740</v>
      </c>
      <c r="J836">
        <v>20</v>
      </c>
      <c r="K836">
        <v>17952</v>
      </c>
      <c r="L836" t="s">
        <v>77</v>
      </c>
      <c r="M836" s="2">
        <f>Table1[[#This Row],[Revenue_INR]]-Table1[[#This Row],[Price_INR]]</f>
        <v>14212</v>
      </c>
      <c r="N836">
        <f>YEAR(Table1[[#This Row],[Date]])</f>
        <v>2024</v>
      </c>
      <c r="O836" s="2">
        <f t="shared" si="52"/>
        <v>2992</v>
      </c>
      <c r="P836" s="7">
        <f t="shared" si="53"/>
        <v>79.166666666666657</v>
      </c>
      <c r="Q836" s="2">
        <f t="shared" si="54"/>
        <v>4488</v>
      </c>
      <c r="R836" s="5" t="str">
        <f t="shared" si="55"/>
        <v>Below Average</v>
      </c>
      <c r="S836" s="5" t="str">
        <f>Table1[[#This Row],[Quarter]]&amp;" - "&amp;Table1[[#This Row],[City]]</f>
        <v>Q4 - Mumbai</v>
      </c>
    </row>
    <row r="837" spans="1:19" x14ac:dyDescent="0.3">
      <c r="A837" t="s">
        <v>908</v>
      </c>
      <c r="B837" s="1">
        <v>45602</v>
      </c>
      <c r="C837" t="s">
        <v>896</v>
      </c>
      <c r="D837" t="s">
        <v>800</v>
      </c>
      <c r="E837" t="s">
        <v>20</v>
      </c>
      <c r="F837" t="s">
        <v>16</v>
      </c>
      <c r="G837" t="s">
        <v>17</v>
      </c>
      <c r="H837">
        <v>4</v>
      </c>
      <c r="I837">
        <v>2860</v>
      </c>
      <c r="J837">
        <v>15</v>
      </c>
      <c r="K837">
        <v>9724</v>
      </c>
      <c r="L837" t="s">
        <v>23</v>
      </c>
      <c r="M837" s="2">
        <f>Table1[[#This Row],[Revenue_INR]]-Table1[[#This Row],[Price_INR]]</f>
        <v>6864</v>
      </c>
      <c r="N837">
        <f>YEAR(Table1[[#This Row],[Date]])</f>
        <v>2024</v>
      </c>
      <c r="O837" s="2">
        <f t="shared" si="52"/>
        <v>2431</v>
      </c>
      <c r="P837" s="7">
        <f t="shared" si="53"/>
        <v>70.588235294117652</v>
      </c>
      <c r="Q837" s="2">
        <f t="shared" si="54"/>
        <v>1716</v>
      </c>
      <c r="R837" s="5" t="str">
        <f t="shared" si="55"/>
        <v>Below Average</v>
      </c>
      <c r="S837" s="5" t="str">
        <f>Table1[[#This Row],[Quarter]]&amp;" - "&amp;Table1[[#This Row],[City]]</f>
        <v>Q4 - Mumbai</v>
      </c>
    </row>
    <row r="838" spans="1:19" x14ac:dyDescent="0.3">
      <c r="A838" t="s">
        <v>909</v>
      </c>
      <c r="B838" s="1">
        <v>45602</v>
      </c>
      <c r="C838" t="s">
        <v>896</v>
      </c>
      <c r="D838" t="s">
        <v>800</v>
      </c>
      <c r="E838" t="s">
        <v>25</v>
      </c>
      <c r="F838" t="s">
        <v>47</v>
      </c>
      <c r="G838" t="s">
        <v>48</v>
      </c>
      <c r="H838">
        <v>3</v>
      </c>
      <c r="I838">
        <v>7370</v>
      </c>
      <c r="J838">
        <v>20</v>
      </c>
      <c r="K838">
        <v>17688</v>
      </c>
      <c r="L838" t="s">
        <v>66</v>
      </c>
      <c r="M838" s="2">
        <f>Table1[[#This Row],[Revenue_INR]]-Table1[[#This Row],[Price_INR]]</f>
        <v>10318</v>
      </c>
      <c r="N838">
        <f>YEAR(Table1[[#This Row],[Date]])</f>
        <v>2024</v>
      </c>
      <c r="O838" s="2">
        <f t="shared" si="52"/>
        <v>5896</v>
      </c>
      <c r="P838" s="7">
        <f t="shared" si="53"/>
        <v>58.333333333333336</v>
      </c>
      <c r="Q838" s="2">
        <f t="shared" si="54"/>
        <v>4422</v>
      </c>
      <c r="R838" s="5" t="str">
        <f t="shared" si="55"/>
        <v>Below Average</v>
      </c>
      <c r="S838" s="5" t="str">
        <f>Table1[[#This Row],[Quarter]]&amp;" - "&amp;Table1[[#This Row],[City]]</f>
        <v>Q4 - Hyderabad</v>
      </c>
    </row>
    <row r="839" spans="1:19" x14ac:dyDescent="0.3">
      <c r="A839" t="s">
        <v>910</v>
      </c>
      <c r="B839" s="1">
        <v>45602</v>
      </c>
      <c r="C839" t="s">
        <v>896</v>
      </c>
      <c r="D839" t="s">
        <v>800</v>
      </c>
      <c r="E839" t="s">
        <v>34</v>
      </c>
      <c r="F839" t="s">
        <v>60</v>
      </c>
      <c r="G839" t="s">
        <v>124</v>
      </c>
      <c r="H839">
        <v>14</v>
      </c>
      <c r="I839">
        <v>830</v>
      </c>
      <c r="J839">
        <v>25</v>
      </c>
      <c r="K839">
        <v>8715</v>
      </c>
      <c r="L839" t="s">
        <v>45</v>
      </c>
      <c r="M839" s="2">
        <f>Table1[[#This Row],[Revenue_INR]]-Table1[[#This Row],[Price_INR]]</f>
        <v>7885</v>
      </c>
      <c r="N839">
        <f>YEAR(Table1[[#This Row],[Date]])</f>
        <v>2024</v>
      </c>
      <c r="O839" s="2">
        <f t="shared" si="52"/>
        <v>622.5</v>
      </c>
      <c r="P839" s="7">
        <f t="shared" si="53"/>
        <v>90.476190476190482</v>
      </c>
      <c r="Q839" s="2">
        <f t="shared" si="54"/>
        <v>2905</v>
      </c>
      <c r="R839" s="5" t="str">
        <f t="shared" si="55"/>
        <v>Below Average</v>
      </c>
      <c r="S839" s="5" t="str">
        <f>Table1[[#This Row],[Quarter]]&amp;" - "&amp;Table1[[#This Row],[City]]</f>
        <v>Q4 - Delhi</v>
      </c>
    </row>
    <row r="840" spans="1:19" x14ac:dyDescent="0.3">
      <c r="A840" t="s">
        <v>911</v>
      </c>
      <c r="B840" s="1">
        <v>45602</v>
      </c>
      <c r="C840" t="s">
        <v>896</v>
      </c>
      <c r="D840" t="s">
        <v>800</v>
      </c>
      <c r="E840" t="s">
        <v>15</v>
      </c>
      <c r="F840" t="s">
        <v>16</v>
      </c>
      <c r="G840" t="s">
        <v>69</v>
      </c>
      <c r="H840">
        <v>5</v>
      </c>
      <c r="I840">
        <v>2090</v>
      </c>
      <c r="J840">
        <v>20</v>
      </c>
      <c r="K840">
        <v>8360</v>
      </c>
      <c r="L840" t="s">
        <v>18</v>
      </c>
      <c r="M840" s="2">
        <f>Table1[[#This Row],[Revenue_INR]]-Table1[[#This Row],[Price_INR]]</f>
        <v>6270</v>
      </c>
      <c r="N840">
        <f>YEAR(Table1[[#This Row],[Date]])</f>
        <v>2024</v>
      </c>
      <c r="O840" s="2">
        <f t="shared" si="52"/>
        <v>1672</v>
      </c>
      <c r="P840" s="7">
        <f t="shared" si="53"/>
        <v>75</v>
      </c>
      <c r="Q840" s="2">
        <f t="shared" si="54"/>
        <v>2090</v>
      </c>
      <c r="R840" s="5" t="str">
        <f t="shared" si="55"/>
        <v>Below Average</v>
      </c>
      <c r="S840" s="5" t="str">
        <f>Table1[[#This Row],[Quarter]]&amp;" - "&amp;Table1[[#This Row],[City]]</f>
        <v>Q4 - Kolkata</v>
      </c>
    </row>
    <row r="841" spans="1:19" x14ac:dyDescent="0.3">
      <c r="A841" t="s">
        <v>912</v>
      </c>
      <c r="B841" s="1">
        <v>45602</v>
      </c>
      <c r="C841" t="s">
        <v>896</v>
      </c>
      <c r="D841" t="s">
        <v>800</v>
      </c>
      <c r="E841" t="s">
        <v>25</v>
      </c>
      <c r="F841" t="s">
        <v>16</v>
      </c>
      <c r="G841" t="s">
        <v>44</v>
      </c>
      <c r="H841">
        <v>11</v>
      </c>
      <c r="I841">
        <v>580</v>
      </c>
      <c r="J841">
        <v>20</v>
      </c>
      <c r="K841">
        <v>5104</v>
      </c>
      <c r="L841" t="s">
        <v>28</v>
      </c>
      <c r="M841" s="2">
        <f>Table1[[#This Row],[Revenue_INR]]-Table1[[#This Row],[Price_INR]]</f>
        <v>4524</v>
      </c>
      <c r="N841">
        <f>YEAR(Table1[[#This Row],[Date]])</f>
        <v>2024</v>
      </c>
      <c r="O841" s="2">
        <f t="shared" si="52"/>
        <v>464</v>
      </c>
      <c r="P841" s="7">
        <f t="shared" si="53"/>
        <v>88.63636363636364</v>
      </c>
      <c r="Q841" s="2">
        <f t="shared" si="54"/>
        <v>1276</v>
      </c>
      <c r="R841" s="5" t="str">
        <f t="shared" si="55"/>
        <v>Below Average</v>
      </c>
      <c r="S841" s="5" t="str">
        <f>Table1[[#This Row],[Quarter]]&amp;" - "&amp;Table1[[#This Row],[City]]</f>
        <v>Q4 - Hyderabad</v>
      </c>
    </row>
    <row r="842" spans="1:19" x14ac:dyDescent="0.3">
      <c r="A842" t="s">
        <v>913</v>
      </c>
      <c r="B842" s="1">
        <v>45603</v>
      </c>
      <c r="C842" t="s">
        <v>896</v>
      </c>
      <c r="D842" t="s">
        <v>800</v>
      </c>
      <c r="E842" t="s">
        <v>20</v>
      </c>
      <c r="F842" t="s">
        <v>47</v>
      </c>
      <c r="G842" t="s">
        <v>102</v>
      </c>
      <c r="H842">
        <v>2</v>
      </c>
      <c r="I842">
        <v>2510</v>
      </c>
      <c r="J842">
        <v>10</v>
      </c>
      <c r="K842">
        <v>4518</v>
      </c>
      <c r="L842" t="s">
        <v>39</v>
      </c>
      <c r="M842" s="2">
        <f>Table1[[#This Row],[Revenue_INR]]-Table1[[#This Row],[Price_INR]]</f>
        <v>2008</v>
      </c>
      <c r="N842">
        <f>YEAR(Table1[[#This Row],[Date]])</f>
        <v>2024</v>
      </c>
      <c r="O842" s="2">
        <f t="shared" si="52"/>
        <v>2259</v>
      </c>
      <c r="P842" s="7">
        <f t="shared" si="53"/>
        <v>44.444444444444443</v>
      </c>
      <c r="Q842" s="2">
        <f t="shared" si="54"/>
        <v>502</v>
      </c>
      <c r="R842" s="5" t="str">
        <f t="shared" si="55"/>
        <v>Below Average</v>
      </c>
      <c r="S842" s="5" t="str">
        <f>Table1[[#This Row],[Quarter]]&amp;" - "&amp;Table1[[#This Row],[City]]</f>
        <v>Q4 - Mumbai</v>
      </c>
    </row>
    <row r="843" spans="1:19" x14ac:dyDescent="0.3">
      <c r="A843" t="s">
        <v>914</v>
      </c>
      <c r="B843" s="1">
        <v>45604</v>
      </c>
      <c r="C843" t="s">
        <v>896</v>
      </c>
      <c r="D843" t="s">
        <v>800</v>
      </c>
      <c r="E843" t="s">
        <v>20</v>
      </c>
      <c r="F843" t="s">
        <v>21</v>
      </c>
      <c r="G843" t="s">
        <v>94</v>
      </c>
      <c r="H843">
        <v>2</v>
      </c>
      <c r="I843">
        <v>2050</v>
      </c>
      <c r="J843">
        <v>20</v>
      </c>
      <c r="K843">
        <v>3280</v>
      </c>
      <c r="L843" t="s">
        <v>39</v>
      </c>
      <c r="M843" s="2">
        <f>Table1[[#This Row],[Revenue_INR]]-Table1[[#This Row],[Price_INR]]</f>
        <v>1230</v>
      </c>
      <c r="N843">
        <f>YEAR(Table1[[#This Row],[Date]])</f>
        <v>2024</v>
      </c>
      <c r="O843" s="2">
        <f t="shared" si="52"/>
        <v>1640</v>
      </c>
      <c r="P843" s="7">
        <f t="shared" si="53"/>
        <v>37.5</v>
      </c>
      <c r="Q843" s="2">
        <f t="shared" si="54"/>
        <v>820</v>
      </c>
      <c r="R843" s="5" t="str">
        <f t="shared" si="55"/>
        <v>Below Average</v>
      </c>
      <c r="S843" s="5" t="str">
        <f>Table1[[#This Row],[Quarter]]&amp;" - "&amp;Table1[[#This Row],[City]]</f>
        <v>Q4 - Mumbai</v>
      </c>
    </row>
    <row r="844" spans="1:19" x14ac:dyDescent="0.3">
      <c r="A844" t="s">
        <v>915</v>
      </c>
      <c r="B844" s="1">
        <v>45604</v>
      </c>
      <c r="C844" t="s">
        <v>896</v>
      </c>
      <c r="D844" t="s">
        <v>800</v>
      </c>
      <c r="E844" t="s">
        <v>20</v>
      </c>
      <c r="F844" t="s">
        <v>31</v>
      </c>
      <c r="G844" t="s">
        <v>35</v>
      </c>
      <c r="H844">
        <v>8</v>
      </c>
      <c r="I844">
        <v>2220</v>
      </c>
      <c r="J844">
        <v>20</v>
      </c>
      <c r="K844">
        <v>14208</v>
      </c>
      <c r="L844" t="s">
        <v>77</v>
      </c>
      <c r="M844" s="2">
        <f>Table1[[#This Row],[Revenue_INR]]-Table1[[#This Row],[Price_INR]]</f>
        <v>11988</v>
      </c>
      <c r="N844">
        <f>YEAR(Table1[[#This Row],[Date]])</f>
        <v>2024</v>
      </c>
      <c r="O844" s="2">
        <f t="shared" si="52"/>
        <v>1776</v>
      </c>
      <c r="P844" s="7">
        <f t="shared" si="53"/>
        <v>84.375</v>
      </c>
      <c r="Q844" s="2">
        <f t="shared" si="54"/>
        <v>3552</v>
      </c>
      <c r="R844" s="5" t="str">
        <f t="shared" si="55"/>
        <v>Below Average</v>
      </c>
      <c r="S844" s="5" t="str">
        <f>Table1[[#This Row],[Quarter]]&amp;" - "&amp;Table1[[#This Row],[City]]</f>
        <v>Q4 - Mumbai</v>
      </c>
    </row>
    <row r="845" spans="1:19" x14ac:dyDescent="0.3">
      <c r="A845" t="s">
        <v>916</v>
      </c>
      <c r="B845" s="1">
        <v>45605</v>
      </c>
      <c r="C845" t="s">
        <v>896</v>
      </c>
      <c r="D845" t="s">
        <v>800</v>
      </c>
      <c r="E845" t="s">
        <v>34</v>
      </c>
      <c r="F845" t="s">
        <v>31</v>
      </c>
      <c r="G845" t="s">
        <v>32</v>
      </c>
      <c r="H845">
        <v>13</v>
      </c>
      <c r="I845">
        <v>5270</v>
      </c>
      <c r="J845">
        <v>25</v>
      </c>
      <c r="K845">
        <v>51382.5</v>
      </c>
      <c r="L845" t="s">
        <v>45</v>
      </c>
      <c r="M845" s="2">
        <f>Table1[[#This Row],[Revenue_INR]]-Table1[[#This Row],[Price_INR]]</f>
        <v>46112.5</v>
      </c>
      <c r="N845">
        <f>YEAR(Table1[[#This Row],[Date]])</f>
        <v>2024</v>
      </c>
      <c r="O845" s="2">
        <f t="shared" si="52"/>
        <v>3952.5</v>
      </c>
      <c r="P845" s="7">
        <f t="shared" si="53"/>
        <v>89.743589743589752</v>
      </c>
      <c r="Q845" s="2">
        <f t="shared" si="54"/>
        <v>17127.5</v>
      </c>
      <c r="R845" s="5" t="str">
        <f t="shared" si="55"/>
        <v>Above Average</v>
      </c>
      <c r="S845" s="5" t="str">
        <f>Table1[[#This Row],[Quarter]]&amp;" - "&amp;Table1[[#This Row],[City]]</f>
        <v>Q4 - Delhi</v>
      </c>
    </row>
    <row r="846" spans="1:19" x14ac:dyDescent="0.3">
      <c r="A846" t="s">
        <v>917</v>
      </c>
      <c r="B846" s="1">
        <v>45605</v>
      </c>
      <c r="C846" t="s">
        <v>896</v>
      </c>
      <c r="D846" t="s">
        <v>800</v>
      </c>
      <c r="E846" t="s">
        <v>25</v>
      </c>
      <c r="F846" t="s">
        <v>47</v>
      </c>
      <c r="G846" t="s">
        <v>48</v>
      </c>
      <c r="H846">
        <v>15</v>
      </c>
      <c r="I846">
        <v>8650</v>
      </c>
      <c r="J846">
        <v>15</v>
      </c>
      <c r="K846">
        <v>110287.5</v>
      </c>
      <c r="L846" t="s">
        <v>66</v>
      </c>
      <c r="M846" s="2">
        <f>Table1[[#This Row],[Revenue_INR]]-Table1[[#This Row],[Price_INR]]</f>
        <v>101637.5</v>
      </c>
      <c r="N846">
        <f>YEAR(Table1[[#This Row],[Date]])</f>
        <v>2024</v>
      </c>
      <c r="O846" s="2">
        <f t="shared" si="52"/>
        <v>7352.5</v>
      </c>
      <c r="P846" s="7">
        <f t="shared" si="53"/>
        <v>92.156862745098039</v>
      </c>
      <c r="Q846" s="2">
        <f t="shared" si="54"/>
        <v>19462.5</v>
      </c>
      <c r="R846" s="5" t="str">
        <f t="shared" si="55"/>
        <v>Above Average</v>
      </c>
      <c r="S846" s="5" t="str">
        <f>Table1[[#This Row],[Quarter]]&amp;" - "&amp;Table1[[#This Row],[City]]</f>
        <v>Q4 - Hyderabad</v>
      </c>
    </row>
    <row r="847" spans="1:19" x14ac:dyDescent="0.3">
      <c r="A847" t="s">
        <v>918</v>
      </c>
      <c r="B847" s="1">
        <v>45605</v>
      </c>
      <c r="C847" t="s">
        <v>896</v>
      </c>
      <c r="D847" t="s">
        <v>800</v>
      </c>
      <c r="E847" t="s">
        <v>34</v>
      </c>
      <c r="F847" t="s">
        <v>47</v>
      </c>
      <c r="G847" t="s">
        <v>48</v>
      </c>
      <c r="H847">
        <v>10</v>
      </c>
      <c r="I847">
        <v>8930</v>
      </c>
      <c r="J847">
        <v>0</v>
      </c>
      <c r="K847">
        <v>89300</v>
      </c>
      <c r="L847" t="s">
        <v>36</v>
      </c>
      <c r="M847" s="2">
        <f>Table1[[#This Row],[Revenue_INR]]-Table1[[#This Row],[Price_INR]]</f>
        <v>80370</v>
      </c>
      <c r="N847">
        <f>YEAR(Table1[[#This Row],[Date]])</f>
        <v>2024</v>
      </c>
      <c r="O847" s="2">
        <f t="shared" si="52"/>
        <v>8930</v>
      </c>
      <c r="P847" s="7">
        <f t="shared" si="53"/>
        <v>90</v>
      </c>
      <c r="Q847" s="2">
        <f t="shared" si="54"/>
        <v>0</v>
      </c>
      <c r="R847" s="5" t="str">
        <f t="shared" si="55"/>
        <v>Above Average</v>
      </c>
      <c r="S847" s="5" t="str">
        <f>Table1[[#This Row],[Quarter]]&amp;" - "&amp;Table1[[#This Row],[City]]</f>
        <v>Q4 - Delhi</v>
      </c>
    </row>
    <row r="848" spans="1:19" x14ac:dyDescent="0.3">
      <c r="A848" t="s">
        <v>919</v>
      </c>
      <c r="B848" s="1">
        <v>45606</v>
      </c>
      <c r="C848" t="s">
        <v>896</v>
      </c>
      <c r="D848" t="s">
        <v>800</v>
      </c>
      <c r="E848" t="s">
        <v>20</v>
      </c>
      <c r="F848" t="s">
        <v>60</v>
      </c>
      <c r="G848" t="s">
        <v>99</v>
      </c>
      <c r="H848">
        <v>15</v>
      </c>
      <c r="I848">
        <v>1450</v>
      </c>
      <c r="J848">
        <v>25</v>
      </c>
      <c r="K848">
        <v>16312.5</v>
      </c>
      <c r="L848" t="s">
        <v>77</v>
      </c>
      <c r="M848" s="2">
        <f>Table1[[#This Row],[Revenue_INR]]-Table1[[#This Row],[Price_INR]]</f>
        <v>14862.5</v>
      </c>
      <c r="N848">
        <f>YEAR(Table1[[#This Row],[Date]])</f>
        <v>2024</v>
      </c>
      <c r="O848" s="2">
        <f t="shared" si="52"/>
        <v>1087.5</v>
      </c>
      <c r="P848" s="7">
        <f t="shared" si="53"/>
        <v>91.111111111111114</v>
      </c>
      <c r="Q848" s="2">
        <f t="shared" si="54"/>
        <v>5437.5</v>
      </c>
      <c r="R848" s="5" t="str">
        <f t="shared" si="55"/>
        <v>Below Average</v>
      </c>
      <c r="S848" s="5" t="str">
        <f>Table1[[#This Row],[Quarter]]&amp;" - "&amp;Table1[[#This Row],[City]]</f>
        <v>Q4 - Mumbai</v>
      </c>
    </row>
    <row r="849" spans="1:19" x14ac:dyDescent="0.3">
      <c r="A849" t="s">
        <v>920</v>
      </c>
      <c r="B849" s="1">
        <v>45607</v>
      </c>
      <c r="C849" t="s">
        <v>896</v>
      </c>
      <c r="D849" t="s">
        <v>800</v>
      </c>
      <c r="E849" t="s">
        <v>20</v>
      </c>
      <c r="F849" t="s">
        <v>21</v>
      </c>
      <c r="G849" t="s">
        <v>22</v>
      </c>
      <c r="H849">
        <v>5</v>
      </c>
      <c r="I849">
        <v>2020</v>
      </c>
      <c r="J849">
        <v>15</v>
      </c>
      <c r="K849">
        <v>8585</v>
      </c>
      <c r="L849" t="s">
        <v>77</v>
      </c>
      <c r="M849" s="2">
        <f>Table1[[#This Row],[Revenue_INR]]-Table1[[#This Row],[Price_INR]]</f>
        <v>6565</v>
      </c>
      <c r="N849">
        <f>YEAR(Table1[[#This Row],[Date]])</f>
        <v>2024</v>
      </c>
      <c r="O849" s="2">
        <f t="shared" si="52"/>
        <v>1717</v>
      </c>
      <c r="P849" s="7">
        <f t="shared" si="53"/>
        <v>76.470588235294116</v>
      </c>
      <c r="Q849" s="2">
        <f t="shared" si="54"/>
        <v>1515</v>
      </c>
      <c r="R849" s="5" t="str">
        <f t="shared" si="55"/>
        <v>Below Average</v>
      </c>
      <c r="S849" s="5" t="str">
        <f>Table1[[#This Row],[Quarter]]&amp;" - "&amp;Table1[[#This Row],[City]]</f>
        <v>Q4 - Mumbai</v>
      </c>
    </row>
    <row r="850" spans="1:19" x14ac:dyDescent="0.3">
      <c r="A850" t="s">
        <v>921</v>
      </c>
      <c r="B850" s="1">
        <v>45607</v>
      </c>
      <c r="C850" t="s">
        <v>896</v>
      </c>
      <c r="D850" t="s">
        <v>800</v>
      </c>
      <c r="E850" t="s">
        <v>15</v>
      </c>
      <c r="F850" t="s">
        <v>16</v>
      </c>
      <c r="G850" t="s">
        <v>41</v>
      </c>
      <c r="H850">
        <v>9</v>
      </c>
      <c r="I850">
        <v>520</v>
      </c>
      <c r="J850">
        <v>20</v>
      </c>
      <c r="K850">
        <v>3744</v>
      </c>
      <c r="L850" t="s">
        <v>92</v>
      </c>
      <c r="M850" s="2">
        <f>Table1[[#This Row],[Revenue_INR]]-Table1[[#This Row],[Price_INR]]</f>
        <v>3224</v>
      </c>
      <c r="N850">
        <f>YEAR(Table1[[#This Row],[Date]])</f>
        <v>2024</v>
      </c>
      <c r="O850" s="2">
        <f t="shared" si="52"/>
        <v>416</v>
      </c>
      <c r="P850" s="7">
        <f t="shared" si="53"/>
        <v>86.111111111111114</v>
      </c>
      <c r="Q850" s="2">
        <f t="shared" si="54"/>
        <v>936</v>
      </c>
      <c r="R850" s="5" t="str">
        <f t="shared" si="55"/>
        <v>Below Average</v>
      </c>
      <c r="S850" s="5" t="str">
        <f>Table1[[#This Row],[Quarter]]&amp;" - "&amp;Table1[[#This Row],[City]]</f>
        <v>Q4 - Kolkata</v>
      </c>
    </row>
    <row r="851" spans="1:19" x14ac:dyDescent="0.3">
      <c r="A851" t="s">
        <v>922</v>
      </c>
      <c r="B851" s="1">
        <v>45607</v>
      </c>
      <c r="C851" t="s">
        <v>896</v>
      </c>
      <c r="D851" t="s">
        <v>800</v>
      </c>
      <c r="E851" t="s">
        <v>25</v>
      </c>
      <c r="F851" t="s">
        <v>47</v>
      </c>
      <c r="G851" t="s">
        <v>51</v>
      </c>
      <c r="H851">
        <v>11</v>
      </c>
      <c r="I851">
        <v>7140</v>
      </c>
      <c r="J851">
        <v>10</v>
      </c>
      <c r="K851">
        <v>70686</v>
      </c>
      <c r="L851" t="s">
        <v>66</v>
      </c>
      <c r="M851" s="2">
        <f>Table1[[#This Row],[Revenue_INR]]-Table1[[#This Row],[Price_INR]]</f>
        <v>63546</v>
      </c>
      <c r="N851">
        <f>YEAR(Table1[[#This Row],[Date]])</f>
        <v>2024</v>
      </c>
      <c r="O851" s="2">
        <f t="shared" si="52"/>
        <v>6426</v>
      </c>
      <c r="P851" s="7">
        <f t="shared" si="53"/>
        <v>89.898989898989896</v>
      </c>
      <c r="Q851" s="2">
        <f t="shared" si="54"/>
        <v>7854</v>
      </c>
      <c r="R851" s="5" t="str">
        <f t="shared" si="55"/>
        <v>Above Average</v>
      </c>
      <c r="S851" s="5" t="str">
        <f>Table1[[#This Row],[Quarter]]&amp;" - "&amp;Table1[[#This Row],[City]]</f>
        <v>Q4 - Hyderabad</v>
      </c>
    </row>
    <row r="852" spans="1:19" x14ac:dyDescent="0.3">
      <c r="A852" t="s">
        <v>923</v>
      </c>
      <c r="B852" s="1">
        <v>45607</v>
      </c>
      <c r="C852" t="s">
        <v>896</v>
      </c>
      <c r="D852" t="s">
        <v>800</v>
      </c>
      <c r="E852" t="s">
        <v>15</v>
      </c>
      <c r="F852" t="s">
        <v>31</v>
      </c>
      <c r="G852" t="s">
        <v>35</v>
      </c>
      <c r="H852">
        <v>4</v>
      </c>
      <c r="I852">
        <v>3350</v>
      </c>
      <c r="J852">
        <v>5</v>
      </c>
      <c r="K852">
        <v>12730</v>
      </c>
      <c r="L852" t="s">
        <v>53</v>
      </c>
      <c r="M852" s="2">
        <f>Table1[[#This Row],[Revenue_INR]]-Table1[[#This Row],[Price_INR]]</f>
        <v>9380</v>
      </c>
      <c r="N852">
        <f>YEAR(Table1[[#This Row],[Date]])</f>
        <v>2024</v>
      </c>
      <c r="O852" s="2">
        <f t="shared" si="52"/>
        <v>3182.5</v>
      </c>
      <c r="P852" s="7">
        <f t="shared" si="53"/>
        <v>73.68421052631578</v>
      </c>
      <c r="Q852" s="2">
        <f t="shared" si="54"/>
        <v>670</v>
      </c>
      <c r="R852" s="5" t="str">
        <f t="shared" si="55"/>
        <v>Below Average</v>
      </c>
      <c r="S852" s="5" t="str">
        <f>Table1[[#This Row],[Quarter]]&amp;" - "&amp;Table1[[#This Row],[City]]</f>
        <v>Q4 - Kolkata</v>
      </c>
    </row>
    <row r="853" spans="1:19" x14ac:dyDescent="0.3">
      <c r="A853" t="s">
        <v>924</v>
      </c>
      <c r="B853" s="1">
        <v>45607</v>
      </c>
      <c r="C853" t="s">
        <v>896</v>
      </c>
      <c r="D853" t="s">
        <v>800</v>
      </c>
      <c r="E853" t="s">
        <v>34</v>
      </c>
      <c r="F853" t="s">
        <v>31</v>
      </c>
      <c r="G853" t="s">
        <v>32</v>
      </c>
      <c r="H853">
        <v>8</v>
      </c>
      <c r="I853">
        <v>4600</v>
      </c>
      <c r="J853">
        <v>20</v>
      </c>
      <c r="K853">
        <v>29440</v>
      </c>
      <c r="L853" t="s">
        <v>45</v>
      </c>
      <c r="M853" s="2">
        <f>Table1[[#This Row],[Revenue_INR]]-Table1[[#This Row],[Price_INR]]</f>
        <v>24840</v>
      </c>
      <c r="N853">
        <f>YEAR(Table1[[#This Row],[Date]])</f>
        <v>2024</v>
      </c>
      <c r="O853" s="2">
        <f t="shared" si="52"/>
        <v>3680</v>
      </c>
      <c r="P853" s="7">
        <f t="shared" si="53"/>
        <v>84.375</v>
      </c>
      <c r="Q853" s="2">
        <f t="shared" si="54"/>
        <v>7360</v>
      </c>
      <c r="R853" s="5" t="str">
        <f t="shared" si="55"/>
        <v>Above Average</v>
      </c>
      <c r="S853" s="5" t="str">
        <f>Table1[[#This Row],[Quarter]]&amp;" - "&amp;Table1[[#This Row],[City]]</f>
        <v>Q4 - Delhi</v>
      </c>
    </row>
    <row r="854" spans="1:19" x14ac:dyDescent="0.3">
      <c r="A854" t="s">
        <v>925</v>
      </c>
      <c r="B854" s="1">
        <v>45608</v>
      </c>
      <c r="C854" t="s">
        <v>896</v>
      </c>
      <c r="D854" t="s">
        <v>800</v>
      </c>
      <c r="E854" t="s">
        <v>25</v>
      </c>
      <c r="F854" t="s">
        <v>16</v>
      </c>
      <c r="G854" t="s">
        <v>17</v>
      </c>
      <c r="H854">
        <v>12</v>
      </c>
      <c r="I854">
        <v>1700</v>
      </c>
      <c r="J854">
        <v>25</v>
      </c>
      <c r="K854">
        <v>15300</v>
      </c>
      <c r="L854" t="s">
        <v>42</v>
      </c>
      <c r="M854" s="2">
        <f>Table1[[#This Row],[Revenue_INR]]-Table1[[#This Row],[Price_INR]]</f>
        <v>13600</v>
      </c>
      <c r="N854">
        <f>YEAR(Table1[[#This Row],[Date]])</f>
        <v>2024</v>
      </c>
      <c r="O854" s="2">
        <f t="shared" si="52"/>
        <v>1275</v>
      </c>
      <c r="P854" s="7">
        <f t="shared" si="53"/>
        <v>88.888888888888886</v>
      </c>
      <c r="Q854" s="2">
        <f t="shared" si="54"/>
        <v>5100</v>
      </c>
      <c r="R854" s="5" t="str">
        <f t="shared" si="55"/>
        <v>Below Average</v>
      </c>
      <c r="S854" s="5" t="str">
        <f>Table1[[#This Row],[Quarter]]&amp;" - "&amp;Table1[[#This Row],[City]]</f>
        <v>Q4 - Hyderabad</v>
      </c>
    </row>
    <row r="855" spans="1:19" x14ac:dyDescent="0.3">
      <c r="A855" t="s">
        <v>926</v>
      </c>
      <c r="B855" s="1">
        <v>45608</v>
      </c>
      <c r="C855" t="s">
        <v>896</v>
      </c>
      <c r="D855" t="s">
        <v>800</v>
      </c>
      <c r="E855" t="s">
        <v>34</v>
      </c>
      <c r="F855" t="s">
        <v>26</v>
      </c>
      <c r="G855" t="s">
        <v>80</v>
      </c>
      <c r="H855">
        <v>3</v>
      </c>
      <c r="I855">
        <v>11660</v>
      </c>
      <c r="J855">
        <v>5</v>
      </c>
      <c r="K855">
        <v>33231</v>
      </c>
      <c r="L855" t="s">
        <v>45</v>
      </c>
      <c r="M855" s="2">
        <f>Table1[[#This Row],[Revenue_INR]]-Table1[[#This Row],[Price_INR]]</f>
        <v>21571</v>
      </c>
      <c r="N855">
        <f>YEAR(Table1[[#This Row],[Date]])</f>
        <v>2024</v>
      </c>
      <c r="O855" s="2">
        <f t="shared" si="52"/>
        <v>11077</v>
      </c>
      <c r="P855" s="7">
        <f t="shared" si="53"/>
        <v>64.912280701754383</v>
      </c>
      <c r="Q855" s="2">
        <f t="shared" si="54"/>
        <v>1749</v>
      </c>
      <c r="R855" s="5" t="str">
        <f t="shared" si="55"/>
        <v>Above Average</v>
      </c>
      <c r="S855" s="5" t="str">
        <f>Table1[[#This Row],[Quarter]]&amp;" - "&amp;Table1[[#This Row],[City]]</f>
        <v>Q4 - Delhi</v>
      </c>
    </row>
    <row r="856" spans="1:19" x14ac:dyDescent="0.3">
      <c r="A856" t="s">
        <v>927</v>
      </c>
      <c r="B856" s="1">
        <v>45608</v>
      </c>
      <c r="C856" t="s">
        <v>896</v>
      </c>
      <c r="D856" t="s">
        <v>800</v>
      </c>
      <c r="E856" t="s">
        <v>15</v>
      </c>
      <c r="F856" t="s">
        <v>31</v>
      </c>
      <c r="G856" t="s">
        <v>131</v>
      </c>
      <c r="H856">
        <v>6</v>
      </c>
      <c r="I856">
        <v>3020</v>
      </c>
      <c r="J856">
        <v>5</v>
      </c>
      <c r="K856">
        <v>17214</v>
      </c>
      <c r="L856" t="s">
        <v>53</v>
      </c>
      <c r="M856" s="2">
        <f>Table1[[#This Row],[Revenue_INR]]-Table1[[#This Row],[Price_INR]]</f>
        <v>14194</v>
      </c>
      <c r="N856">
        <f>YEAR(Table1[[#This Row],[Date]])</f>
        <v>2024</v>
      </c>
      <c r="O856" s="2">
        <f t="shared" si="52"/>
        <v>2869</v>
      </c>
      <c r="P856" s="7">
        <f t="shared" si="53"/>
        <v>82.456140350877192</v>
      </c>
      <c r="Q856" s="2">
        <f t="shared" si="54"/>
        <v>906</v>
      </c>
      <c r="R856" s="5" t="str">
        <f t="shared" si="55"/>
        <v>Below Average</v>
      </c>
      <c r="S856" s="5" t="str">
        <f>Table1[[#This Row],[Quarter]]&amp;" - "&amp;Table1[[#This Row],[City]]</f>
        <v>Q4 - Kolkata</v>
      </c>
    </row>
    <row r="857" spans="1:19" x14ac:dyDescent="0.3">
      <c r="A857" t="s">
        <v>928</v>
      </c>
      <c r="B857" s="1">
        <v>45608</v>
      </c>
      <c r="C857" t="s">
        <v>896</v>
      </c>
      <c r="D857" t="s">
        <v>800</v>
      </c>
      <c r="E857" t="s">
        <v>20</v>
      </c>
      <c r="F857" t="s">
        <v>26</v>
      </c>
      <c r="G857" t="s">
        <v>80</v>
      </c>
      <c r="H857">
        <v>15</v>
      </c>
      <c r="I857">
        <v>9110</v>
      </c>
      <c r="J857">
        <v>30</v>
      </c>
      <c r="K857">
        <v>95655</v>
      </c>
      <c r="L857" t="s">
        <v>39</v>
      </c>
      <c r="M857" s="2">
        <f>Table1[[#This Row],[Revenue_INR]]-Table1[[#This Row],[Price_INR]]</f>
        <v>86545</v>
      </c>
      <c r="N857">
        <f>YEAR(Table1[[#This Row],[Date]])</f>
        <v>2024</v>
      </c>
      <c r="O857" s="2">
        <f t="shared" si="52"/>
        <v>6377</v>
      </c>
      <c r="P857" s="7">
        <f t="shared" si="53"/>
        <v>90.476190476190482</v>
      </c>
      <c r="Q857" s="2">
        <f t="shared" si="54"/>
        <v>40995</v>
      </c>
      <c r="R857" s="5" t="str">
        <f t="shared" si="55"/>
        <v>Above Average</v>
      </c>
      <c r="S857" s="5" t="str">
        <f>Table1[[#This Row],[Quarter]]&amp;" - "&amp;Table1[[#This Row],[City]]</f>
        <v>Q4 - Mumbai</v>
      </c>
    </row>
    <row r="858" spans="1:19" x14ac:dyDescent="0.3">
      <c r="A858" t="s">
        <v>929</v>
      </c>
      <c r="B858" s="1">
        <v>45608</v>
      </c>
      <c r="C858" t="s">
        <v>896</v>
      </c>
      <c r="D858" t="s">
        <v>800</v>
      </c>
      <c r="E858" t="s">
        <v>20</v>
      </c>
      <c r="F858" t="s">
        <v>26</v>
      </c>
      <c r="G858" t="s">
        <v>82</v>
      </c>
      <c r="H858">
        <v>9</v>
      </c>
      <c r="I858">
        <v>3710</v>
      </c>
      <c r="J858">
        <v>0</v>
      </c>
      <c r="K858">
        <v>33390</v>
      </c>
      <c r="L858" t="s">
        <v>23</v>
      </c>
      <c r="M858" s="2">
        <f>Table1[[#This Row],[Revenue_INR]]-Table1[[#This Row],[Price_INR]]</f>
        <v>29680</v>
      </c>
      <c r="N858">
        <f>YEAR(Table1[[#This Row],[Date]])</f>
        <v>2024</v>
      </c>
      <c r="O858" s="2">
        <f t="shared" si="52"/>
        <v>3710</v>
      </c>
      <c r="P858" s="7">
        <f t="shared" si="53"/>
        <v>88.888888888888886</v>
      </c>
      <c r="Q858" s="2">
        <f t="shared" si="54"/>
        <v>0</v>
      </c>
      <c r="R858" s="5" t="str">
        <f t="shared" si="55"/>
        <v>Above Average</v>
      </c>
      <c r="S858" s="5" t="str">
        <f>Table1[[#This Row],[Quarter]]&amp;" - "&amp;Table1[[#This Row],[City]]</f>
        <v>Q4 - Mumbai</v>
      </c>
    </row>
    <row r="859" spans="1:19" x14ac:dyDescent="0.3">
      <c r="A859" t="s">
        <v>930</v>
      </c>
      <c r="B859" s="1">
        <v>45608</v>
      </c>
      <c r="C859" t="s">
        <v>896</v>
      </c>
      <c r="D859" t="s">
        <v>800</v>
      </c>
      <c r="E859" t="s">
        <v>15</v>
      </c>
      <c r="F859" t="s">
        <v>16</v>
      </c>
      <c r="G859" t="s">
        <v>69</v>
      </c>
      <c r="H859">
        <v>11</v>
      </c>
      <c r="I859">
        <v>1740</v>
      </c>
      <c r="J859">
        <v>25</v>
      </c>
      <c r="K859">
        <v>14355</v>
      </c>
      <c r="L859" t="s">
        <v>92</v>
      </c>
      <c r="M859" s="2">
        <f>Table1[[#This Row],[Revenue_INR]]-Table1[[#This Row],[Price_INR]]</f>
        <v>12615</v>
      </c>
      <c r="N859">
        <f>YEAR(Table1[[#This Row],[Date]])</f>
        <v>2024</v>
      </c>
      <c r="O859" s="2">
        <f t="shared" si="52"/>
        <v>1305</v>
      </c>
      <c r="P859" s="7">
        <f t="shared" si="53"/>
        <v>87.878787878787875</v>
      </c>
      <c r="Q859" s="2">
        <f t="shared" si="54"/>
        <v>4785</v>
      </c>
      <c r="R859" s="5" t="str">
        <f t="shared" si="55"/>
        <v>Below Average</v>
      </c>
      <c r="S859" s="5" t="str">
        <f>Table1[[#This Row],[Quarter]]&amp;" - "&amp;Table1[[#This Row],[City]]</f>
        <v>Q4 - Kolkata</v>
      </c>
    </row>
    <row r="860" spans="1:19" x14ac:dyDescent="0.3">
      <c r="A860" t="s">
        <v>931</v>
      </c>
      <c r="B860" s="1">
        <v>45609</v>
      </c>
      <c r="C860" t="s">
        <v>896</v>
      </c>
      <c r="D860" t="s">
        <v>800</v>
      </c>
      <c r="E860" t="s">
        <v>20</v>
      </c>
      <c r="F860" t="s">
        <v>31</v>
      </c>
      <c r="G860" t="s">
        <v>35</v>
      </c>
      <c r="H860">
        <v>7</v>
      </c>
      <c r="I860">
        <v>3000</v>
      </c>
      <c r="J860">
        <v>5</v>
      </c>
      <c r="K860">
        <v>19950</v>
      </c>
      <c r="L860" t="s">
        <v>39</v>
      </c>
      <c r="M860" s="2">
        <f>Table1[[#This Row],[Revenue_INR]]-Table1[[#This Row],[Price_INR]]</f>
        <v>16950</v>
      </c>
      <c r="N860">
        <f>YEAR(Table1[[#This Row],[Date]])</f>
        <v>2024</v>
      </c>
      <c r="O860" s="2">
        <f t="shared" si="52"/>
        <v>2850</v>
      </c>
      <c r="P860" s="7">
        <f t="shared" si="53"/>
        <v>84.962406015037601</v>
      </c>
      <c r="Q860" s="2">
        <f t="shared" si="54"/>
        <v>1050</v>
      </c>
      <c r="R860" s="5" t="str">
        <f t="shared" si="55"/>
        <v>Below Average</v>
      </c>
      <c r="S860" s="5" t="str">
        <f>Table1[[#This Row],[Quarter]]&amp;" - "&amp;Table1[[#This Row],[City]]</f>
        <v>Q4 - Mumbai</v>
      </c>
    </row>
    <row r="861" spans="1:19" x14ac:dyDescent="0.3">
      <c r="A861" t="s">
        <v>932</v>
      </c>
      <c r="B861" s="1">
        <v>45609</v>
      </c>
      <c r="C861" t="s">
        <v>896</v>
      </c>
      <c r="D861" t="s">
        <v>800</v>
      </c>
      <c r="E861" t="s">
        <v>15</v>
      </c>
      <c r="F861" t="s">
        <v>60</v>
      </c>
      <c r="G861" t="s">
        <v>85</v>
      </c>
      <c r="H861">
        <v>7</v>
      </c>
      <c r="I861">
        <v>1180</v>
      </c>
      <c r="J861">
        <v>10</v>
      </c>
      <c r="K861">
        <v>7434</v>
      </c>
      <c r="L861" t="s">
        <v>53</v>
      </c>
      <c r="M861" s="2">
        <f>Table1[[#This Row],[Revenue_INR]]-Table1[[#This Row],[Price_INR]]</f>
        <v>6254</v>
      </c>
      <c r="N861">
        <f>YEAR(Table1[[#This Row],[Date]])</f>
        <v>2024</v>
      </c>
      <c r="O861" s="2">
        <f t="shared" si="52"/>
        <v>1062</v>
      </c>
      <c r="P861" s="7">
        <f t="shared" si="53"/>
        <v>84.126984126984127</v>
      </c>
      <c r="Q861" s="2">
        <f t="shared" si="54"/>
        <v>826</v>
      </c>
      <c r="R861" s="5" t="str">
        <f t="shared" si="55"/>
        <v>Below Average</v>
      </c>
      <c r="S861" s="5" t="str">
        <f>Table1[[#This Row],[Quarter]]&amp;" - "&amp;Table1[[#This Row],[City]]</f>
        <v>Q4 - Kolkata</v>
      </c>
    </row>
    <row r="862" spans="1:19" x14ac:dyDescent="0.3">
      <c r="A862" t="s">
        <v>933</v>
      </c>
      <c r="B862" s="1">
        <v>45609</v>
      </c>
      <c r="C862" t="s">
        <v>896</v>
      </c>
      <c r="D862" t="s">
        <v>800</v>
      </c>
      <c r="E862" t="s">
        <v>15</v>
      </c>
      <c r="F862" t="s">
        <v>60</v>
      </c>
      <c r="G862" t="s">
        <v>124</v>
      </c>
      <c r="H862">
        <v>15</v>
      </c>
      <c r="I862">
        <v>1990</v>
      </c>
      <c r="J862">
        <v>0</v>
      </c>
      <c r="K862">
        <v>29850</v>
      </c>
      <c r="L862" t="s">
        <v>53</v>
      </c>
      <c r="M862" s="2">
        <f>Table1[[#This Row],[Revenue_INR]]-Table1[[#This Row],[Price_INR]]</f>
        <v>27860</v>
      </c>
      <c r="N862">
        <f>YEAR(Table1[[#This Row],[Date]])</f>
        <v>2024</v>
      </c>
      <c r="O862" s="2">
        <f t="shared" si="52"/>
        <v>1990</v>
      </c>
      <c r="P862" s="7">
        <f t="shared" si="53"/>
        <v>93.333333333333329</v>
      </c>
      <c r="Q862" s="2">
        <f t="shared" si="54"/>
        <v>0</v>
      </c>
      <c r="R862" s="5" t="str">
        <f t="shared" si="55"/>
        <v>Above Average</v>
      </c>
      <c r="S862" s="5" t="str">
        <f>Table1[[#This Row],[Quarter]]&amp;" - "&amp;Table1[[#This Row],[City]]</f>
        <v>Q4 - Kolkata</v>
      </c>
    </row>
    <row r="863" spans="1:19" x14ac:dyDescent="0.3">
      <c r="A863" t="s">
        <v>934</v>
      </c>
      <c r="B863" s="1">
        <v>45609</v>
      </c>
      <c r="C863" t="s">
        <v>896</v>
      </c>
      <c r="D863" t="s">
        <v>800</v>
      </c>
      <c r="E863" t="s">
        <v>25</v>
      </c>
      <c r="F863" t="s">
        <v>21</v>
      </c>
      <c r="G863" t="s">
        <v>22</v>
      </c>
      <c r="H863">
        <v>14</v>
      </c>
      <c r="I863">
        <v>1010</v>
      </c>
      <c r="J863">
        <v>15</v>
      </c>
      <c r="K863">
        <v>12019</v>
      </c>
      <c r="L863" t="s">
        <v>66</v>
      </c>
      <c r="M863" s="2">
        <f>Table1[[#This Row],[Revenue_INR]]-Table1[[#This Row],[Price_INR]]</f>
        <v>11009</v>
      </c>
      <c r="N863">
        <f>YEAR(Table1[[#This Row],[Date]])</f>
        <v>2024</v>
      </c>
      <c r="O863" s="2">
        <f t="shared" si="52"/>
        <v>858.5</v>
      </c>
      <c r="P863" s="7">
        <f t="shared" si="53"/>
        <v>91.596638655462186</v>
      </c>
      <c r="Q863" s="2">
        <f t="shared" si="54"/>
        <v>2121</v>
      </c>
      <c r="R863" s="5" t="str">
        <f t="shared" si="55"/>
        <v>Below Average</v>
      </c>
      <c r="S863" s="5" t="str">
        <f>Table1[[#This Row],[Quarter]]&amp;" - "&amp;Table1[[#This Row],[City]]</f>
        <v>Q4 - Hyderabad</v>
      </c>
    </row>
    <row r="864" spans="1:19" x14ac:dyDescent="0.3">
      <c r="A864" t="s">
        <v>935</v>
      </c>
      <c r="B864" s="1">
        <v>45609</v>
      </c>
      <c r="C864" t="s">
        <v>896</v>
      </c>
      <c r="D864" t="s">
        <v>800</v>
      </c>
      <c r="E864" t="s">
        <v>25</v>
      </c>
      <c r="F864" t="s">
        <v>16</v>
      </c>
      <c r="G864" t="s">
        <v>69</v>
      </c>
      <c r="H864">
        <v>1</v>
      </c>
      <c r="I864">
        <v>600</v>
      </c>
      <c r="J864">
        <v>5</v>
      </c>
      <c r="K864">
        <v>570</v>
      </c>
      <c r="L864" t="s">
        <v>42</v>
      </c>
      <c r="M864" s="2">
        <f>Table1[[#This Row],[Revenue_INR]]-Table1[[#This Row],[Price_INR]]</f>
        <v>-30</v>
      </c>
      <c r="N864">
        <f>YEAR(Table1[[#This Row],[Date]])</f>
        <v>2024</v>
      </c>
      <c r="O864" s="2">
        <f t="shared" si="52"/>
        <v>570</v>
      </c>
      <c r="P864" s="7">
        <f t="shared" si="53"/>
        <v>-5.2631578947368416</v>
      </c>
      <c r="Q864" s="2">
        <f t="shared" si="54"/>
        <v>30</v>
      </c>
      <c r="R864" s="5" t="str">
        <f t="shared" si="55"/>
        <v>Below Average</v>
      </c>
      <c r="S864" s="5" t="str">
        <f>Table1[[#This Row],[Quarter]]&amp;" - "&amp;Table1[[#This Row],[City]]</f>
        <v>Q4 - Hyderabad</v>
      </c>
    </row>
    <row r="865" spans="1:19" x14ac:dyDescent="0.3">
      <c r="A865" t="s">
        <v>936</v>
      </c>
      <c r="B865" s="1">
        <v>45610</v>
      </c>
      <c r="C865" t="s">
        <v>896</v>
      </c>
      <c r="D865" t="s">
        <v>800</v>
      </c>
      <c r="E865" t="s">
        <v>34</v>
      </c>
      <c r="F865" t="s">
        <v>60</v>
      </c>
      <c r="G865" t="s">
        <v>124</v>
      </c>
      <c r="H865">
        <v>5</v>
      </c>
      <c r="I865">
        <v>1770</v>
      </c>
      <c r="J865">
        <v>25</v>
      </c>
      <c r="K865">
        <v>6637.5</v>
      </c>
      <c r="L865" t="s">
        <v>49</v>
      </c>
      <c r="M865" s="2">
        <f>Table1[[#This Row],[Revenue_INR]]-Table1[[#This Row],[Price_INR]]</f>
        <v>4867.5</v>
      </c>
      <c r="N865">
        <f>YEAR(Table1[[#This Row],[Date]])</f>
        <v>2024</v>
      </c>
      <c r="O865" s="2">
        <f t="shared" si="52"/>
        <v>1327.5</v>
      </c>
      <c r="P865" s="7">
        <f t="shared" si="53"/>
        <v>73.333333333333329</v>
      </c>
      <c r="Q865" s="2">
        <f t="shared" si="54"/>
        <v>2212.5</v>
      </c>
      <c r="R865" s="5" t="str">
        <f t="shared" si="55"/>
        <v>Below Average</v>
      </c>
      <c r="S865" s="5" t="str">
        <f>Table1[[#This Row],[Quarter]]&amp;" - "&amp;Table1[[#This Row],[City]]</f>
        <v>Q4 - Delhi</v>
      </c>
    </row>
    <row r="866" spans="1:19" x14ac:dyDescent="0.3">
      <c r="A866" t="s">
        <v>937</v>
      </c>
      <c r="B866" s="1">
        <v>45610</v>
      </c>
      <c r="C866" t="s">
        <v>896</v>
      </c>
      <c r="D866" t="s">
        <v>800</v>
      </c>
      <c r="E866" t="s">
        <v>15</v>
      </c>
      <c r="F866" t="s">
        <v>16</v>
      </c>
      <c r="G866" t="s">
        <v>44</v>
      </c>
      <c r="H866">
        <v>15</v>
      </c>
      <c r="I866">
        <v>2570</v>
      </c>
      <c r="J866">
        <v>5</v>
      </c>
      <c r="K866">
        <v>36622.5</v>
      </c>
      <c r="L866" t="s">
        <v>18</v>
      </c>
      <c r="M866" s="2">
        <f>Table1[[#This Row],[Revenue_INR]]-Table1[[#This Row],[Price_INR]]</f>
        <v>34052.5</v>
      </c>
      <c r="N866">
        <f>YEAR(Table1[[#This Row],[Date]])</f>
        <v>2024</v>
      </c>
      <c r="O866" s="2">
        <f t="shared" si="52"/>
        <v>2441.5</v>
      </c>
      <c r="P866" s="7">
        <f t="shared" si="53"/>
        <v>92.982456140350877</v>
      </c>
      <c r="Q866" s="2">
        <f t="shared" si="54"/>
        <v>1927.5</v>
      </c>
      <c r="R866" s="5" t="str">
        <f t="shared" si="55"/>
        <v>Above Average</v>
      </c>
      <c r="S866" s="5" t="str">
        <f>Table1[[#This Row],[Quarter]]&amp;" - "&amp;Table1[[#This Row],[City]]</f>
        <v>Q4 - Kolkata</v>
      </c>
    </row>
    <row r="867" spans="1:19" x14ac:dyDescent="0.3">
      <c r="A867" t="s">
        <v>938</v>
      </c>
      <c r="B867" s="1">
        <v>45610</v>
      </c>
      <c r="C867" t="s">
        <v>896</v>
      </c>
      <c r="D867" t="s">
        <v>800</v>
      </c>
      <c r="E867" t="s">
        <v>25</v>
      </c>
      <c r="F867" t="s">
        <v>16</v>
      </c>
      <c r="G867" t="s">
        <v>44</v>
      </c>
      <c r="H867">
        <v>15</v>
      </c>
      <c r="I867">
        <v>1190</v>
      </c>
      <c r="J867">
        <v>15</v>
      </c>
      <c r="K867">
        <v>15172.5</v>
      </c>
      <c r="L867" t="s">
        <v>28</v>
      </c>
      <c r="M867" s="2">
        <f>Table1[[#This Row],[Revenue_INR]]-Table1[[#This Row],[Price_INR]]</f>
        <v>13982.5</v>
      </c>
      <c r="N867">
        <f>YEAR(Table1[[#This Row],[Date]])</f>
        <v>2024</v>
      </c>
      <c r="O867" s="2">
        <f t="shared" si="52"/>
        <v>1011.5</v>
      </c>
      <c r="P867" s="7">
        <f t="shared" si="53"/>
        <v>92.156862745098039</v>
      </c>
      <c r="Q867" s="2">
        <f t="shared" si="54"/>
        <v>2677.5</v>
      </c>
      <c r="R867" s="5" t="str">
        <f t="shared" si="55"/>
        <v>Below Average</v>
      </c>
      <c r="S867" s="5" t="str">
        <f>Table1[[#This Row],[Quarter]]&amp;" - "&amp;Table1[[#This Row],[City]]</f>
        <v>Q4 - Hyderabad</v>
      </c>
    </row>
    <row r="868" spans="1:19" x14ac:dyDescent="0.3">
      <c r="A868" t="s">
        <v>939</v>
      </c>
      <c r="B868" s="1">
        <v>45611</v>
      </c>
      <c r="C868" t="s">
        <v>896</v>
      </c>
      <c r="D868" t="s">
        <v>800</v>
      </c>
      <c r="E868" t="s">
        <v>25</v>
      </c>
      <c r="F868" t="s">
        <v>31</v>
      </c>
      <c r="G868" t="s">
        <v>35</v>
      </c>
      <c r="H868">
        <v>11</v>
      </c>
      <c r="I868">
        <v>1350</v>
      </c>
      <c r="J868">
        <v>10</v>
      </c>
      <c r="K868">
        <v>13365</v>
      </c>
      <c r="L868" t="s">
        <v>28</v>
      </c>
      <c r="M868" s="2">
        <f>Table1[[#This Row],[Revenue_INR]]-Table1[[#This Row],[Price_INR]]</f>
        <v>12015</v>
      </c>
      <c r="N868">
        <f>YEAR(Table1[[#This Row],[Date]])</f>
        <v>2024</v>
      </c>
      <c r="O868" s="2">
        <f t="shared" si="52"/>
        <v>1215</v>
      </c>
      <c r="P868" s="7">
        <f t="shared" si="53"/>
        <v>89.898989898989896</v>
      </c>
      <c r="Q868" s="2">
        <f t="shared" si="54"/>
        <v>1485</v>
      </c>
      <c r="R868" s="5" t="str">
        <f t="shared" si="55"/>
        <v>Below Average</v>
      </c>
      <c r="S868" s="5" t="str">
        <f>Table1[[#This Row],[Quarter]]&amp;" - "&amp;Table1[[#This Row],[City]]</f>
        <v>Q4 - Hyderabad</v>
      </c>
    </row>
    <row r="869" spans="1:19" x14ac:dyDescent="0.3">
      <c r="A869" t="s">
        <v>940</v>
      </c>
      <c r="B869" s="1">
        <v>45611</v>
      </c>
      <c r="C869" t="s">
        <v>896</v>
      </c>
      <c r="D869" t="s">
        <v>800</v>
      </c>
      <c r="E869" t="s">
        <v>15</v>
      </c>
      <c r="F869" t="s">
        <v>26</v>
      </c>
      <c r="G869" t="s">
        <v>82</v>
      </c>
      <c r="H869">
        <v>11</v>
      </c>
      <c r="I869">
        <v>8090</v>
      </c>
      <c r="J869">
        <v>10</v>
      </c>
      <c r="K869">
        <v>80091</v>
      </c>
      <c r="L869" t="s">
        <v>92</v>
      </c>
      <c r="M869" s="2">
        <f>Table1[[#This Row],[Revenue_INR]]-Table1[[#This Row],[Price_INR]]</f>
        <v>72001</v>
      </c>
      <c r="N869">
        <f>YEAR(Table1[[#This Row],[Date]])</f>
        <v>2024</v>
      </c>
      <c r="O869" s="2">
        <f t="shared" si="52"/>
        <v>7281</v>
      </c>
      <c r="P869" s="7">
        <f t="shared" si="53"/>
        <v>89.898989898989896</v>
      </c>
      <c r="Q869" s="2">
        <f t="shared" si="54"/>
        <v>8899</v>
      </c>
      <c r="R869" s="5" t="str">
        <f t="shared" si="55"/>
        <v>Above Average</v>
      </c>
      <c r="S869" s="5" t="str">
        <f>Table1[[#This Row],[Quarter]]&amp;" - "&amp;Table1[[#This Row],[City]]</f>
        <v>Q4 - Kolkata</v>
      </c>
    </row>
    <row r="870" spans="1:19" x14ac:dyDescent="0.3">
      <c r="A870" t="s">
        <v>941</v>
      </c>
      <c r="B870" s="1">
        <v>45611</v>
      </c>
      <c r="C870" t="s">
        <v>896</v>
      </c>
      <c r="D870" t="s">
        <v>800</v>
      </c>
      <c r="E870" t="s">
        <v>15</v>
      </c>
      <c r="F870" t="s">
        <v>21</v>
      </c>
      <c r="G870" t="s">
        <v>22</v>
      </c>
      <c r="H870">
        <v>12</v>
      </c>
      <c r="I870">
        <v>1290</v>
      </c>
      <c r="J870">
        <v>30</v>
      </c>
      <c r="K870">
        <v>10836</v>
      </c>
      <c r="L870" t="s">
        <v>92</v>
      </c>
      <c r="M870" s="2">
        <f>Table1[[#This Row],[Revenue_INR]]-Table1[[#This Row],[Price_INR]]</f>
        <v>9546</v>
      </c>
      <c r="N870">
        <f>YEAR(Table1[[#This Row],[Date]])</f>
        <v>2024</v>
      </c>
      <c r="O870" s="2">
        <f t="shared" si="52"/>
        <v>903</v>
      </c>
      <c r="P870" s="7">
        <f t="shared" si="53"/>
        <v>88.095238095238088</v>
      </c>
      <c r="Q870" s="2">
        <f t="shared" si="54"/>
        <v>4644</v>
      </c>
      <c r="R870" s="5" t="str">
        <f t="shared" si="55"/>
        <v>Below Average</v>
      </c>
      <c r="S870" s="5" t="str">
        <f>Table1[[#This Row],[Quarter]]&amp;" - "&amp;Table1[[#This Row],[City]]</f>
        <v>Q4 - Kolkata</v>
      </c>
    </row>
    <row r="871" spans="1:19" x14ac:dyDescent="0.3">
      <c r="A871" t="s">
        <v>942</v>
      </c>
      <c r="B871" s="1">
        <v>45612</v>
      </c>
      <c r="C871" t="s">
        <v>896</v>
      </c>
      <c r="D871" t="s">
        <v>800</v>
      </c>
      <c r="E871" t="s">
        <v>34</v>
      </c>
      <c r="F871" t="s">
        <v>21</v>
      </c>
      <c r="G871" t="s">
        <v>94</v>
      </c>
      <c r="H871">
        <v>9</v>
      </c>
      <c r="I871">
        <v>2870</v>
      </c>
      <c r="J871">
        <v>15</v>
      </c>
      <c r="K871">
        <v>21955.5</v>
      </c>
      <c r="L871" t="s">
        <v>45</v>
      </c>
      <c r="M871" s="2">
        <f>Table1[[#This Row],[Revenue_INR]]-Table1[[#This Row],[Price_INR]]</f>
        <v>19085.5</v>
      </c>
      <c r="N871">
        <f>YEAR(Table1[[#This Row],[Date]])</f>
        <v>2024</v>
      </c>
      <c r="O871" s="2">
        <f t="shared" si="52"/>
        <v>2439.5</v>
      </c>
      <c r="P871" s="7">
        <f t="shared" si="53"/>
        <v>86.928104575163403</v>
      </c>
      <c r="Q871" s="2">
        <f t="shared" si="54"/>
        <v>3874.5</v>
      </c>
      <c r="R871" s="5" t="str">
        <f t="shared" si="55"/>
        <v>Below Average</v>
      </c>
      <c r="S871" s="5" t="str">
        <f>Table1[[#This Row],[Quarter]]&amp;" - "&amp;Table1[[#This Row],[City]]</f>
        <v>Q4 - Delhi</v>
      </c>
    </row>
    <row r="872" spans="1:19" x14ac:dyDescent="0.3">
      <c r="A872" t="s">
        <v>943</v>
      </c>
      <c r="B872" s="1">
        <v>45612</v>
      </c>
      <c r="C872" t="s">
        <v>896</v>
      </c>
      <c r="D872" t="s">
        <v>800</v>
      </c>
      <c r="E872" t="s">
        <v>15</v>
      </c>
      <c r="F872" t="s">
        <v>60</v>
      </c>
      <c r="G872" t="s">
        <v>85</v>
      </c>
      <c r="H872">
        <v>13</v>
      </c>
      <c r="I872">
        <v>2350</v>
      </c>
      <c r="J872">
        <v>30</v>
      </c>
      <c r="K872">
        <v>21385</v>
      </c>
      <c r="L872" t="s">
        <v>18</v>
      </c>
      <c r="M872" s="2">
        <f>Table1[[#This Row],[Revenue_INR]]-Table1[[#This Row],[Price_INR]]</f>
        <v>19035</v>
      </c>
      <c r="N872">
        <f>YEAR(Table1[[#This Row],[Date]])</f>
        <v>2024</v>
      </c>
      <c r="O872" s="2">
        <f t="shared" si="52"/>
        <v>1645</v>
      </c>
      <c r="P872" s="7">
        <f t="shared" si="53"/>
        <v>89.010989010989007</v>
      </c>
      <c r="Q872" s="2">
        <f t="shared" si="54"/>
        <v>9165</v>
      </c>
      <c r="R872" s="5" t="str">
        <f t="shared" si="55"/>
        <v>Below Average</v>
      </c>
      <c r="S872" s="5" t="str">
        <f>Table1[[#This Row],[Quarter]]&amp;" - "&amp;Table1[[#This Row],[City]]</f>
        <v>Q4 - Kolkata</v>
      </c>
    </row>
    <row r="873" spans="1:19" x14ac:dyDescent="0.3">
      <c r="A873" t="s">
        <v>944</v>
      </c>
      <c r="B873" s="1">
        <v>45613</v>
      </c>
      <c r="C873" t="s">
        <v>896</v>
      </c>
      <c r="D873" t="s">
        <v>800</v>
      </c>
      <c r="E873" t="s">
        <v>20</v>
      </c>
      <c r="F873" t="s">
        <v>47</v>
      </c>
      <c r="G873" t="s">
        <v>55</v>
      </c>
      <c r="H873">
        <v>7</v>
      </c>
      <c r="I873">
        <v>8920</v>
      </c>
      <c r="J873">
        <v>5</v>
      </c>
      <c r="K873">
        <v>59318</v>
      </c>
      <c r="L873" t="s">
        <v>39</v>
      </c>
      <c r="M873" s="2">
        <f>Table1[[#This Row],[Revenue_INR]]-Table1[[#This Row],[Price_INR]]</f>
        <v>50398</v>
      </c>
      <c r="N873">
        <f>YEAR(Table1[[#This Row],[Date]])</f>
        <v>2024</v>
      </c>
      <c r="O873" s="2">
        <f t="shared" si="52"/>
        <v>8474</v>
      </c>
      <c r="P873" s="7">
        <f t="shared" si="53"/>
        <v>84.962406015037601</v>
      </c>
      <c r="Q873" s="2">
        <f t="shared" si="54"/>
        <v>3122</v>
      </c>
      <c r="R873" s="5" t="str">
        <f t="shared" si="55"/>
        <v>Above Average</v>
      </c>
      <c r="S873" s="5" t="str">
        <f>Table1[[#This Row],[Quarter]]&amp;" - "&amp;Table1[[#This Row],[City]]</f>
        <v>Q4 - Mumbai</v>
      </c>
    </row>
    <row r="874" spans="1:19" x14ac:dyDescent="0.3">
      <c r="A874" t="s">
        <v>945</v>
      </c>
      <c r="B874" s="1">
        <v>45613</v>
      </c>
      <c r="C874" t="s">
        <v>896</v>
      </c>
      <c r="D874" t="s">
        <v>800</v>
      </c>
      <c r="E874" t="s">
        <v>15</v>
      </c>
      <c r="F874" t="s">
        <v>47</v>
      </c>
      <c r="G874" t="s">
        <v>51</v>
      </c>
      <c r="H874">
        <v>12</v>
      </c>
      <c r="I874">
        <v>2530</v>
      </c>
      <c r="J874">
        <v>30</v>
      </c>
      <c r="K874">
        <v>21252</v>
      </c>
      <c r="L874" t="s">
        <v>92</v>
      </c>
      <c r="M874" s="2">
        <f>Table1[[#This Row],[Revenue_INR]]-Table1[[#This Row],[Price_INR]]</f>
        <v>18722</v>
      </c>
      <c r="N874">
        <f>YEAR(Table1[[#This Row],[Date]])</f>
        <v>2024</v>
      </c>
      <c r="O874" s="2">
        <f t="shared" si="52"/>
        <v>1771</v>
      </c>
      <c r="P874" s="7">
        <f t="shared" si="53"/>
        <v>88.095238095238088</v>
      </c>
      <c r="Q874" s="2">
        <f t="shared" si="54"/>
        <v>9108</v>
      </c>
      <c r="R874" s="5" t="str">
        <f t="shared" si="55"/>
        <v>Below Average</v>
      </c>
      <c r="S874" s="5" t="str">
        <f>Table1[[#This Row],[Quarter]]&amp;" - "&amp;Table1[[#This Row],[City]]</f>
        <v>Q4 - Kolkata</v>
      </c>
    </row>
    <row r="875" spans="1:19" x14ac:dyDescent="0.3">
      <c r="A875" t="s">
        <v>946</v>
      </c>
      <c r="B875" s="1">
        <v>45613</v>
      </c>
      <c r="C875" t="s">
        <v>896</v>
      </c>
      <c r="D875" t="s">
        <v>800</v>
      </c>
      <c r="E875" t="s">
        <v>34</v>
      </c>
      <c r="F875" t="s">
        <v>16</v>
      </c>
      <c r="G875" t="s">
        <v>41</v>
      </c>
      <c r="H875">
        <v>1</v>
      </c>
      <c r="I875">
        <v>2200</v>
      </c>
      <c r="J875">
        <v>30</v>
      </c>
      <c r="K875">
        <v>1540</v>
      </c>
      <c r="L875" t="s">
        <v>45</v>
      </c>
      <c r="M875" s="2">
        <f>Table1[[#This Row],[Revenue_INR]]-Table1[[#This Row],[Price_INR]]</f>
        <v>-660</v>
      </c>
      <c r="N875">
        <f>YEAR(Table1[[#This Row],[Date]])</f>
        <v>2024</v>
      </c>
      <c r="O875" s="2">
        <f t="shared" si="52"/>
        <v>1540</v>
      </c>
      <c r="P875" s="7">
        <f t="shared" si="53"/>
        <v>-42.857142857142854</v>
      </c>
      <c r="Q875" s="2">
        <f t="shared" si="54"/>
        <v>660</v>
      </c>
      <c r="R875" s="5" t="str">
        <f t="shared" si="55"/>
        <v>Below Average</v>
      </c>
      <c r="S875" s="5" t="str">
        <f>Table1[[#This Row],[Quarter]]&amp;" - "&amp;Table1[[#This Row],[City]]</f>
        <v>Q4 - Delhi</v>
      </c>
    </row>
    <row r="876" spans="1:19" x14ac:dyDescent="0.3">
      <c r="A876" t="s">
        <v>947</v>
      </c>
      <c r="B876" s="1">
        <v>45613</v>
      </c>
      <c r="C876" t="s">
        <v>896</v>
      </c>
      <c r="D876" t="s">
        <v>800</v>
      </c>
      <c r="E876" t="s">
        <v>20</v>
      </c>
      <c r="F876" t="s">
        <v>31</v>
      </c>
      <c r="G876" t="s">
        <v>131</v>
      </c>
      <c r="H876">
        <v>12</v>
      </c>
      <c r="I876">
        <v>2720</v>
      </c>
      <c r="J876">
        <v>25</v>
      </c>
      <c r="K876">
        <v>24480</v>
      </c>
      <c r="L876" t="s">
        <v>39</v>
      </c>
      <c r="M876" s="2">
        <f>Table1[[#This Row],[Revenue_INR]]-Table1[[#This Row],[Price_INR]]</f>
        <v>21760</v>
      </c>
      <c r="N876">
        <f>YEAR(Table1[[#This Row],[Date]])</f>
        <v>2024</v>
      </c>
      <c r="O876" s="2">
        <f t="shared" si="52"/>
        <v>2040</v>
      </c>
      <c r="P876" s="7">
        <f t="shared" si="53"/>
        <v>88.888888888888886</v>
      </c>
      <c r="Q876" s="2">
        <f t="shared" si="54"/>
        <v>8160</v>
      </c>
      <c r="R876" s="5" t="str">
        <f t="shared" si="55"/>
        <v>Above Average</v>
      </c>
      <c r="S876" s="5" t="str">
        <f>Table1[[#This Row],[Quarter]]&amp;" - "&amp;Table1[[#This Row],[City]]</f>
        <v>Q4 - Mumbai</v>
      </c>
    </row>
    <row r="877" spans="1:19" x14ac:dyDescent="0.3">
      <c r="A877" t="s">
        <v>948</v>
      </c>
      <c r="B877" s="1">
        <v>45614</v>
      </c>
      <c r="C877" t="s">
        <v>896</v>
      </c>
      <c r="D877" t="s">
        <v>800</v>
      </c>
      <c r="E877" t="s">
        <v>15</v>
      </c>
      <c r="F877" t="s">
        <v>16</v>
      </c>
      <c r="G877" t="s">
        <v>69</v>
      </c>
      <c r="H877">
        <v>9</v>
      </c>
      <c r="I877">
        <v>1800</v>
      </c>
      <c r="J877">
        <v>30</v>
      </c>
      <c r="K877">
        <v>11340</v>
      </c>
      <c r="L877" t="s">
        <v>92</v>
      </c>
      <c r="M877" s="2">
        <f>Table1[[#This Row],[Revenue_INR]]-Table1[[#This Row],[Price_INR]]</f>
        <v>9540</v>
      </c>
      <c r="N877">
        <f>YEAR(Table1[[#This Row],[Date]])</f>
        <v>2024</v>
      </c>
      <c r="O877" s="2">
        <f t="shared" si="52"/>
        <v>1260</v>
      </c>
      <c r="P877" s="7">
        <f t="shared" si="53"/>
        <v>84.126984126984127</v>
      </c>
      <c r="Q877" s="2">
        <f t="shared" si="54"/>
        <v>4860</v>
      </c>
      <c r="R877" s="5" t="str">
        <f t="shared" si="55"/>
        <v>Below Average</v>
      </c>
      <c r="S877" s="5" t="str">
        <f>Table1[[#This Row],[Quarter]]&amp;" - "&amp;Table1[[#This Row],[City]]</f>
        <v>Q4 - Kolkata</v>
      </c>
    </row>
    <row r="878" spans="1:19" x14ac:dyDescent="0.3">
      <c r="A878" t="s">
        <v>949</v>
      </c>
      <c r="B878" s="1">
        <v>45614</v>
      </c>
      <c r="C878" t="s">
        <v>896</v>
      </c>
      <c r="D878" t="s">
        <v>800</v>
      </c>
      <c r="E878" t="s">
        <v>25</v>
      </c>
      <c r="F878" t="s">
        <v>16</v>
      </c>
      <c r="G878" t="s">
        <v>69</v>
      </c>
      <c r="H878">
        <v>3</v>
      </c>
      <c r="I878">
        <v>1870</v>
      </c>
      <c r="J878">
        <v>20</v>
      </c>
      <c r="K878">
        <v>4488</v>
      </c>
      <c r="L878" t="s">
        <v>66</v>
      </c>
      <c r="M878" s="2">
        <f>Table1[[#This Row],[Revenue_INR]]-Table1[[#This Row],[Price_INR]]</f>
        <v>2618</v>
      </c>
      <c r="N878">
        <f>YEAR(Table1[[#This Row],[Date]])</f>
        <v>2024</v>
      </c>
      <c r="O878" s="2">
        <f t="shared" si="52"/>
        <v>1496</v>
      </c>
      <c r="P878" s="7">
        <f t="shared" si="53"/>
        <v>58.333333333333336</v>
      </c>
      <c r="Q878" s="2">
        <f t="shared" si="54"/>
        <v>1122</v>
      </c>
      <c r="R878" s="5" t="str">
        <f t="shared" si="55"/>
        <v>Below Average</v>
      </c>
      <c r="S878" s="5" t="str">
        <f>Table1[[#This Row],[Quarter]]&amp;" - "&amp;Table1[[#This Row],[City]]</f>
        <v>Q4 - Hyderabad</v>
      </c>
    </row>
    <row r="879" spans="1:19" x14ac:dyDescent="0.3">
      <c r="A879" t="s">
        <v>950</v>
      </c>
      <c r="B879" s="1">
        <v>45614</v>
      </c>
      <c r="C879" t="s">
        <v>896</v>
      </c>
      <c r="D879" t="s">
        <v>800</v>
      </c>
      <c r="E879" t="s">
        <v>25</v>
      </c>
      <c r="F879" t="s">
        <v>16</v>
      </c>
      <c r="G879" t="s">
        <v>44</v>
      </c>
      <c r="H879">
        <v>2</v>
      </c>
      <c r="I879">
        <v>1950</v>
      </c>
      <c r="J879">
        <v>20</v>
      </c>
      <c r="K879">
        <v>3120</v>
      </c>
      <c r="L879" t="s">
        <v>66</v>
      </c>
      <c r="M879" s="2">
        <f>Table1[[#This Row],[Revenue_INR]]-Table1[[#This Row],[Price_INR]]</f>
        <v>1170</v>
      </c>
      <c r="N879">
        <f>YEAR(Table1[[#This Row],[Date]])</f>
        <v>2024</v>
      </c>
      <c r="O879" s="2">
        <f t="shared" si="52"/>
        <v>1560</v>
      </c>
      <c r="P879" s="7">
        <f t="shared" si="53"/>
        <v>37.5</v>
      </c>
      <c r="Q879" s="2">
        <f t="shared" si="54"/>
        <v>780</v>
      </c>
      <c r="R879" s="5" t="str">
        <f t="shared" si="55"/>
        <v>Below Average</v>
      </c>
      <c r="S879" s="5" t="str">
        <f>Table1[[#This Row],[Quarter]]&amp;" - "&amp;Table1[[#This Row],[City]]</f>
        <v>Q4 - Hyderabad</v>
      </c>
    </row>
    <row r="880" spans="1:19" x14ac:dyDescent="0.3">
      <c r="A880" t="s">
        <v>951</v>
      </c>
      <c r="B880" s="1">
        <v>45614</v>
      </c>
      <c r="C880" t="s">
        <v>896</v>
      </c>
      <c r="D880" t="s">
        <v>800</v>
      </c>
      <c r="E880" t="s">
        <v>20</v>
      </c>
      <c r="F880" t="s">
        <v>21</v>
      </c>
      <c r="G880" t="s">
        <v>71</v>
      </c>
      <c r="H880">
        <v>15</v>
      </c>
      <c r="I880">
        <v>2150</v>
      </c>
      <c r="J880">
        <v>30</v>
      </c>
      <c r="K880">
        <v>22575</v>
      </c>
      <c r="L880" t="s">
        <v>77</v>
      </c>
      <c r="M880" s="2">
        <f>Table1[[#This Row],[Revenue_INR]]-Table1[[#This Row],[Price_INR]]</f>
        <v>20425</v>
      </c>
      <c r="N880">
        <f>YEAR(Table1[[#This Row],[Date]])</f>
        <v>2024</v>
      </c>
      <c r="O880" s="2">
        <f t="shared" si="52"/>
        <v>1505</v>
      </c>
      <c r="P880" s="7">
        <f t="shared" si="53"/>
        <v>90.476190476190482</v>
      </c>
      <c r="Q880" s="2">
        <f t="shared" si="54"/>
        <v>9675</v>
      </c>
      <c r="R880" s="5" t="str">
        <f t="shared" si="55"/>
        <v>Below Average</v>
      </c>
      <c r="S880" s="5" t="str">
        <f>Table1[[#This Row],[Quarter]]&amp;" - "&amp;Table1[[#This Row],[City]]</f>
        <v>Q4 - Mumbai</v>
      </c>
    </row>
    <row r="881" spans="1:19" x14ac:dyDescent="0.3">
      <c r="A881" t="s">
        <v>952</v>
      </c>
      <c r="B881" s="1">
        <v>45614</v>
      </c>
      <c r="C881" t="s">
        <v>896</v>
      </c>
      <c r="D881" t="s">
        <v>800</v>
      </c>
      <c r="E881" t="s">
        <v>20</v>
      </c>
      <c r="F881" t="s">
        <v>47</v>
      </c>
      <c r="G881" t="s">
        <v>51</v>
      </c>
      <c r="H881">
        <v>7</v>
      </c>
      <c r="I881">
        <v>4090</v>
      </c>
      <c r="J881">
        <v>0</v>
      </c>
      <c r="K881">
        <v>28630</v>
      </c>
      <c r="L881" t="s">
        <v>77</v>
      </c>
      <c r="M881" s="2">
        <f>Table1[[#This Row],[Revenue_INR]]-Table1[[#This Row],[Price_INR]]</f>
        <v>24540</v>
      </c>
      <c r="N881">
        <f>YEAR(Table1[[#This Row],[Date]])</f>
        <v>2024</v>
      </c>
      <c r="O881" s="2">
        <f t="shared" si="52"/>
        <v>4090</v>
      </c>
      <c r="P881" s="7">
        <f t="shared" si="53"/>
        <v>85.714285714285708</v>
      </c>
      <c r="Q881" s="2">
        <f t="shared" si="54"/>
        <v>0</v>
      </c>
      <c r="R881" s="5" t="str">
        <f t="shared" si="55"/>
        <v>Above Average</v>
      </c>
      <c r="S881" s="5" t="str">
        <f>Table1[[#This Row],[Quarter]]&amp;" - "&amp;Table1[[#This Row],[City]]</f>
        <v>Q4 - Mumbai</v>
      </c>
    </row>
    <row r="882" spans="1:19" x14ac:dyDescent="0.3">
      <c r="A882" t="s">
        <v>953</v>
      </c>
      <c r="B882" s="1">
        <v>45616</v>
      </c>
      <c r="C882" t="s">
        <v>896</v>
      </c>
      <c r="D882" t="s">
        <v>800</v>
      </c>
      <c r="E882" t="s">
        <v>15</v>
      </c>
      <c r="F882" t="s">
        <v>21</v>
      </c>
      <c r="G882" t="s">
        <v>94</v>
      </c>
      <c r="H882">
        <v>7</v>
      </c>
      <c r="I882">
        <v>1090</v>
      </c>
      <c r="J882">
        <v>0</v>
      </c>
      <c r="K882">
        <v>7630</v>
      </c>
      <c r="L882" t="s">
        <v>18</v>
      </c>
      <c r="M882" s="2">
        <f>Table1[[#This Row],[Revenue_INR]]-Table1[[#This Row],[Price_INR]]</f>
        <v>6540</v>
      </c>
      <c r="N882">
        <f>YEAR(Table1[[#This Row],[Date]])</f>
        <v>2024</v>
      </c>
      <c r="O882" s="2">
        <f t="shared" si="52"/>
        <v>1090</v>
      </c>
      <c r="P882" s="7">
        <f t="shared" si="53"/>
        <v>85.714285714285708</v>
      </c>
      <c r="Q882" s="2">
        <f t="shared" si="54"/>
        <v>0</v>
      </c>
      <c r="R882" s="5" t="str">
        <f t="shared" si="55"/>
        <v>Below Average</v>
      </c>
      <c r="S882" s="5" t="str">
        <f>Table1[[#This Row],[Quarter]]&amp;" - "&amp;Table1[[#This Row],[City]]</f>
        <v>Q4 - Kolkata</v>
      </c>
    </row>
    <row r="883" spans="1:19" x14ac:dyDescent="0.3">
      <c r="A883" t="s">
        <v>954</v>
      </c>
      <c r="B883" s="1">
        <v>45616</v>
      </c>
      <c r="C883" t="s">
        <v>896</v>
      </c>
      <c r="D883" t="s">
        <v>800</v>
      </c>
      <c r="E883" t="s">
        <v>25</v>
      </c>
      <c r="F883" t="s">
        <v>60</v>
      </c>
      <c r="G883" t="s">
        <v>124</v>
      </c>
      <c r="H883">
        <v>3</v>
      </c>
      <c r="I883">
        <v>1230</v>
      </c>
      <c r="J883">
        <v>10</v>
      </c>
      <c r="K883">
        <v>3321</v>
      </c>
      <c r="L883" t="s">
        <v>42</v>
      </c>
      <c r="M883" s="2">
        <f>Table1[[#This Row],[Revenue_INR]]-Table1[[#This Row],[Price_INR]]</f>
        <v>2091</v>
      </c>
      <c r="N883">
        <f>YEAR(Table1[[#This Row],[Date]])</f>
        <v>2024</v>
      </c>
      <c r="O883" s="2">
        <f t="shared" si="52"/>
        <v>1107</v>
      </c>
      <c r="P883" s="7">
        <f t="shared" si="53"/>
        <v>62.962962962962962</v>
      </c>
      <c r="Q883" s="2">
        <f t="shared" si="54"/>
        <v>369</v>
      </c>
      <c r="R883" s="5" t="str">
        <f t="shared" si="55"/>
        <v>Below Average</v>
      </c>
      <c r="S883" s="5" t="str">
        <f>Table1[[#This Row],[Quarter]]&amp;" - "&amp;Table1[[#This Row],[City]]</f>
        <v>Q4 - Hyderabad</v>
      </c>
    </row>
    <row r="884" spans="1:19" x14ac:dyDescent="0.3">
      <c r="A884" t="s">
        <v>955</v>
      </c>
      <c r="B884" s="1">
        <v>45616</v>
      </c>
      <c r="C884" t="s">
        <v>896</v>
      </c>
      <c r="D884" t="s">
        <v>800</v>
      </c>
      <c r="E884" t="s">
        <v>34</v>
      </c>
      <c r="F884" t="s">
        <v>26</v>
      </c>
      <c r="G884" t="s">
        <v>27</v>
      </c>
      <c r="H884">
        <v>7</v>
      </c>
      <c r="I884">
        <v>11210</v>
      </c>
      <c r="J884">
        <v>30</v>
      </c>
      <c r="K884">
        <v>54929</v>
      </c>
      <c r="L884" t="s">
        <v>49</v>
      </c>
      <c r="M884" s="2">
        <f>Table1[[#This Row],[Revenue_INR]]-Table1[[#This Row],[Price_INR]]</f>
        <v>43719</v>
      </c>
      <c r="N884">
        <f>YEAR(Table1[[#This Row],[Date]])</f>
        <v>2024</v>
      </c>
      <c r="O884" s="2">
        <f t="shared" si="52"/>
        <v>7847</v>
      </c>
      <c r="P884" s="7">
        <f t="shared" si="53"/>
        <v>79.591836734693871</v>
      </c>
      <c r="Q884" s="2">
        <f t="shared" si="54"/>
        <v>23541</v>
      </c>
      <c r="R884" s="5" t="str">
        <f t="shared" si="55"/>
        <v>Above Average</v>
      </c>
      <c r="S884" s="5" t="str">
        <f>Table1[[#This Row],[Quarter]]&amp;" - "&amp;Table1[[#This Row],[City]]</f>
        <v>Q4 - Delhi</v>
      </c>
    </row>
    <row r="885" spans="1:19" x14ac:dyDescent="0.3">
      <c r="A885" t="s">
        <v>956</v>
      </c>
      <c r="B885" s="1">
        <v>45618</v>
      </c>
      <c r="C885" t="s">
        <v>896</v>
      </c>
      <c r="D885" t="s">
        <v>800</v>
      </c>
      <c r="E885" t="s">
        <v>15</v>
      </c>
      <c r="F885" t="s">
        <v>31</v>
      </c>
      <c r="G885" t="s">
        <v>131</v>
      </c>
      <c r="H885">
        <v>13</v>
      </c>
      <c r="I885">
        <v>1020</v>
      </c>
      <c r="J885">
        <v>5</v>
      </c>
      <c r="K885">
        <v>12597</v>
      </c>
      <c r="L885" t="s">
        <v>53</v>
      </c>
      <c r="M885" s="2">
        <f>Table1[[#This Row],[Revenue_INR]]-Table1[[#This Row],[Price_INR]]</f>
        <v>11577</v>
      </c>
      <c r="N885">
        <f>YEAR(Table1[[#This Row],[Date]])</f>
        <v>2024</v>
      </c>
      <c r="O885" s="2">
        <f t="shared" si="52"/>
        <v>969</v>
      </c>
      <c r="P885" s="7">
        <f t="shared" si="53"/>
        <v>91.902834008097173</v>
      </c>
      <c r="Q885" s="2">
        <f t="shared" si="54"/>
        <v>663</v>
      </c>
      <c r="R885" s="5" t="str">
        <f t="shared" si="55"/>
        <v>Below Average</v>
      </c>
      <c r="S885" s="5" t="str">
        <f>Table1[[#This Row],[Quarter]]&amp;" - "&amp;Table1[[#This Row],[City]]</f>
        <v>Q4 - Kolkata</v>
      </c>
    </row>
    <row r="886" spans="1:19" x14ac:dyDescent="0.3">
      <c r="A886" t="s">
        <v>957</v>
      </c>
      <c r="B886" s="1">
        <v>45618</v>
      </c>
      <c r="C886" t="s">
        <v>896</v>
      </c>
      <c r="D886" t="s">
        <v>800</v>
      </c>
      <c r="E886" t="s">
        <v>15</v>
      </c>
      <c r="F886" t="s">
        <v>16</v>
      </c>
      <c r="G886" t="s">
        <v>69</v>
      </c>
      <c r="H886">
        <v>9</v>
      </c>
      <c r="I886">
        <v>1870</v>
      </c>
      <c r="J886">
        <v>5</v>
      </c>
      <c r="K886">
        <v>15988.5</v>
      </c>
      <c r="L886" t="s">
        <v>53</v>
      </c>
      <c r="M886" s="2">
        <f>Table1[[#This Row],[Revenue_INR]]-Table1[[#This Row],[Price_INR]]</f>
        <v>14118.5</v>
      </c>
      <c r="N886">
        <f>YEAR(Table1[[#This Row],[Date]])</f>
        <v>2024</v>
      </c>
      <c r="O886" s="2">
        <f t="shared" si="52"/>
        <v>1776.5</v>
      </c>
      <c r="P886" s="7">
        <f t="shared" si="53"/>
        <v>88.304093567251456</v>
      </c>
      <c r="Q886" s="2">
        <f t="shared" si="54"/>
        <v>841.5</v>
      </c>
      <c r="R886" s="5" t="str">
        <f t="shared" si="55"/>
        <v>Below Average</v>
      </c>
      <c r="S886" s="5" t="str">
        <f>Table1[[#This Row],[Quarter]]&amp;" - "&amp;Table1[[#This Row],[City]]</f>
        <v>Q4 - Kolkata</v>
      </c>
    </row>
    <row r="887" spans="1:19" x14ac:dyDescent="0.3">
      <c r="A887" t="s">
        <v>958</v>
      </c>
      <c r="B887" s="1">
        <v>45619</v>
      </c>
      <c r="C887" t="s">
        <v>896</v>
      </c>
      <c r="D887" t="s">
        <v>800</v>
      </c>
      <c r="E887" t="s">
        <v>34</v>
      </c>
      <c r="F887" t="s">
        <v>16</v>
      </c>
      <c r="G887" t="s">
        <v>69</v>
      </c>
      <c r="H887">
        <v>14</v>
      </c>
      <c r="I887">
        <v>2850</v>
      </c>
      <c r="J887">
        <v>5</v>
      </c>
      <c r="K887">
        <v>37905</v>
      </c>
      <c r="L887" t="s">
        <v>49</v>
      </c>
      <c r="M887" s="2">
        <f>Table1[[#This Row],[Revenue_INR]]-Table1[[#This Row],[Price_INR]]</f>
        <v>35055</v>
      </c>
      <c r="N887">
        <f>YEAR(Table1[[#This Row],[Date]])</f>
        <v>2024</v>
      </c>
      <c r="O887" s="2">
        <f t="shared" si="52"/>
        <v>2707.5</v>
      </c>
      <c r="P887" s="7">
        <f t="shared" si="53"/>
        <v>92.481203007518801</v>
      </c>
      <c r="Q887" s="2">
        <f t="shared" si="54"/>
        <v>1995</v>
      </c>
      <c r="R887" s="5" t="str">
        <f t="shared" si="55"/>
        <v>Above Average</v>
      </c>
      <c r="S887" s="5" t="str">
        <f>Table1[[#This Row],[Quarter]]&amp;" - "&amp;Table1[[#This Row],[City]]</f>
        <v>Q4 - Delhi</v>
      </c>
    </row>
    <row r="888" spans="1:19" x14ac:dyDescent="0.3">
      <c r="A888" t="s">
        <v>959</v>
      </c>
      <c r="B888" s="1">
        <v>45619</v>
      </c>
      <c r="C888" t="s">
        <v>896</v>
      </c>
      <c r="D888" t="s">
        <v>800</v>
      </c>
      <c r="E888" t="s">
        <v>25</v>
      </c>
      <c r="F888" t="s">
        <v>26</v>
      </c>
      <c r="G888" t="s">
        <v>27</v>
      </c>
      <c r="H888">
        <v>10</v>
      </c>
      <c r="I888">
        <v>12090</v>
      </c>
      <c r="J888">
        <v>5</v>
      </c>
      <c r="K888">
        <v>114855</v>
      </c>
      <c r="L888" t="s">
        <v>66</v>
      </c>
      <c r="M888" s="2">
        <f>Table1[[#This Row],[Revenue_INR]]-Table1[[#This Row],[Price_INR]]</f>
        <v>102765</v>
      </c>
      <c r="N888">
        <f>YEAR(Table1[[#This Row],[Date]])</f>
        <v>2024</v>
      </c>
      <c r="O888" s="2">
        <f t="shared" si="52"/>
        <v>11485.5</v>
      </c>
      <c r="P888" s="7">
        <f t="shared" si="53"/>
        <v>89.473684210526315</v>
      </c>
      <c r="Q888" s="2">
        <f t="shared" si="54"/>
        <v>6045</v>
      </c>
      <c r="R888" s="5" t="str">
        <f t="shared" si="55"/>
        <v>Above Average</v>
      </c>
      <c r="S888" s="5" t="str">
        <f>Table1[[#This Row],[Quarter]]&amp;" - "&amp;Table1[[#This Row],[City]]</f>
        <v>Q4 - Hyderabad</v>
      </c>
    </row>
    <row r="889" spans="1:19" x14ac:dyDescent="0.3">
      <c r="A889" t="s">
        <v>960</v>
      </c>
      <c r="B889" s="1">
        <v>45619</v>
      </c>
      <c r="C889" t="s">
        <v>896</v>
      </c>
      <c r="D889" t="s">
        <v>800</v>
      </c>
      <c r="E889" t="s">
        <v>25</v>
      </c>
      <c r="F889" t="s">
        <v>26</v>
      </c>
      <c r="G889" t="s">
        <v>80</v>
      </c>
      <c r="H889">
        <v>5</v>
      </c>
      <c r="I889">
        <v>11510</v>
      </c>
      <c r="J889">
        <v>30</v>
      </c>
      <c r="K889">
        <v>40285</v>
      </c>
      <c r="L889" t="s">
        <v>66</v>
      </c>
      <c r="M889" s="2">
        <f>Table1[[#This Row],[Revenue_INR]]-Table1[[#This Row],[Price_INR]]</f>
        <v>28775</v>
      </c>
      <c r="N889">
        <f>YEAR(Table1[[#This Row],[Date]])</f>
        <v>2024</v>
      </c>
      <c r="O889" s="2">
        <f t="shared" si="52"/>
        <v>8057</v>
      </c>
      <c r="P889" s="7">
        <f t="shared" si="53"/>
        <v>71.428571428571431</v>
      </c>
      <c r="Q889" s="2">
        <f t="shared" si="54"/>
        <v>17265</v>
      </c>
      <c r="R889" s="5" t="str">
        <f t="shared" si="55"/>
        <v>Above Average</v>
      </c>
      <c r="S889" s="5" t="str">
        <f>Table1[[#This Row],[Quarter]]&amp;" - "&amp;Table1[[#This Row],[City]]</f>
        <v>Q4 - Hyderabad</v>
      </c>
    </row>
    <row r="890" spans="1:19" x14ac:dyDescent="0.3">
      <c r="A890" t="s">
        <v>961</v>
      </c>
      <c r="B890" s="1">
        <v>45619</v>
      </c>
      <c r="C890" t="s">
        <v>896</v>
      </c>
      <c r="D890" t="s">
        <v>800</v>
      </c>
      <c r="E890" t="s">
        <v>25</v>
      </c>
      <c r="F890" t="s">
        <v>26</v>
      </c>
      <c r="G890" t="s">
        <v>82</v>
      </c>
      <c r="H890">
        <v>7</v>
      </c>
      <c r="I890">
        <v>3380</v>
      </c>
      <c r="J890">
        <v>10</v>
      </c>
      <c r="K890">
        <v>21294</v>
      </c>
      <c r="L890" t="s">
        <v>66</v>
      </c>
      <c r="M890" s="2">
        <f>Table1[[#This Row],[Revenue_INR]]-Table1[[#This Row],[Price_INR]]</f>
        <v>17914</v>
      </c>
      <c r="N890">
        <f>YEAR(Table1[[#This Row],[Date]])</f>
        <v>2024</v>
      </c>
      <c r="O890" s="2">
        <f t="shared" si="52"/>
        <v>3042</v>
      </c>
      <c r="P890" s="7">
        <f t="shared" si="53"/>
        <v>84.126984126984127</v>
      </c>
      <c r="Q890" s="2">
        <f t="shared" si="54"/>
        <v>2366</v>
      </c>
      <c r="R890" s="5" t="str">
        <f t="shared" si="55"/>
        <v>Below Average</v>
      </c>
      <c r="S890" s="5" t="str">
        <f>Table1[[#This Row],[Quarter]]&amp;" - "&amp;Table1[[#This Row],[City]]</f>
        <v>Q4 - Hyderabad</v>
      </c>
    </row>
    <row r="891" spans="1:19" x14ac:dyDescent="0.3">
      <c r="A891" t="s">
        <v>962</v>
      </c>
      <c r="B891" s="1">
        <v>45619</v>
      </c>
      <c r="C891" t="s">
        <v>896</v>
      </c>
      <c r="D891" t="s">
        <v>800</v>
      </c>
      <c r="E891" t="s">
        <v>34</v>
      </c>
      <c r="F891" t="s">
        <v>31</v>
      </c>
      <c r="G891" t="s">
        <v>131</v>
      </c>
      <c r="H891">
        <v>6</v>
      </c>
      <c r="I891">
        <v>3410</v>
      </c>
      <c r="J891">
        <v>10</v>
      </c>
      <c r="K891">
        <v>18414</v>
      </c>
      <c r="L891" t="s">
        <v>49</v>
      </c>
      <c r="M891" s="2">
        <f>Table1[[#This Row],[Revenue_INR]]-Table1[[#This Row],[Price_INR]]</f>
        <v>15004</v>
      </c>
      <c r="N891">
        <f>YEAR(Table1[[#This Row],[Date]])</f>
        <v>2024</v>
      </c>
      <c r="O891" s="2">
        <f t="shared" si="52"/>
        <v>3069</v>
      </c>
      <c r="P891" s="7">
        <f t="shared" si="53"/>
        <v>81.481481481481481</v>
      </c>
      <c r="Q891" s="2">
        <f t="shared" si="54"/>
        <v>2046</v>
      </c>
      <c r="R891" s="5" t="str">
        <f t="shared" si="55"/>
        <v>Below Average</v>
      </c>
      <c r="S891" s="5" t="str">
        <f>Table1[[#This Row],[Quarter]]&amp;" - "&amp;Table1[[#This Row],[City]]</f>
        <v>Q4 - Delhi</v>
      </c>
    </row>
    <row r="892" spans="1:19" x14ac:dyDescent="0.3">
      <c r="A892" t="s">
        <v>963</v>
      </c>
      <c r="B892" s="1">
        <v>45620</v>
      </c>
      <c r="C892" t="s">
        <v>896</v>
      </c>
      <c r="D892" t="s">
        <v>800</v>
      </c>
      <c r="E892" t="s">
        <v>15</v>
      </c>
      <c r="F892" t="s">
        <v>16</v>
      </c>
      <c r="G892" t="s">
        <v>44</v>
      </c>
      <c r="H892">
        <v>11</v>
      </c>
      <c r="I892">
        <v>1600</v>
      </c>
      <c r="J892">
        <v>25</v>
      </c>
      <c r="K892">
        <v>13200</v>
      </c>
      <c r="L892" t="s">
        <v>53</v>
      </c>
      <c r="M892" s="2">
        <f>Table1[[#This Row],[Revenue_INR]]-Table1[[#This Row],[Price_INR]]</f>
        <v>11600</v>
      </c>
      <c r="N892">
        <f>YEAR(Table1[[#This Row],[Date]])</f>
        <v>2024</v>
      </c>
      <c r="O892" s="2">
        <f t="shared" si="52"/>
        <v>1200</v>
      </c>
      <c r="P892" s="7">
        <f t="shared" si="53"/>
        <v>87.878787878787875</v>
      </c>
      <c r="Q892" s="2">
        <f t="shared" si="54"/>
        <v>4400</v>
      </c>
      <c r="R892" s="5" t="str">
        <f t="shared" si="55"/>
        <v>Below Average</v>
      </c>
      <c r="S892" s="5" t="str">
        <f>Table1[[#This Row],[Quarter]]&amp;" - "&amp;Table1[[#This Row],[City]]</f>
        <v>Q4 - Kolkata</v>
      </c>
    </row>
    <row r="893" spans="1:19" x14ac:dyDescent="0.3">
      <c r="A893" t="s">
        <v>964</v>
      </c>
      <c r="B893" s="1">
        <v>45620</v>
      </c>
      <c r="C893" t="s">
        <v>896</v>
      </c>
      <c r="D893" t="s">
        <v>800</v>
      </c>
      <c r="E893" t="s">
        <v>15</v>
      </c>
      <c r="F893" t="s">
        <v>26</v>
      </c>
      <c r="G893" t="s">
        <v>82</v>
      </c>
      <c r="H893">
        <v>6</v>
      </c>
      <c r="I893">
        <v>8550</v>
      </c>
      <c r="J893">
        <v>15</v>
      </c>
      <c r="K893">
        <v>43605</v>
      </c>
      <c r="L893" t="s">
        <v>53</v>
      </c>
      <c r="M893" s="2">
        <f>Table1[[#This Row],[Revenue_INR]]-Table1[[#This Row],[Price_INR]]</f>
        <v>35055</v>
      </c>
      <c r="N893">
        <f>YEAR(Table1[[#This Row],[Date]])</f>
        <v>2024</v>
      </c>
      <c r="O893" s="2">
        <f t="shared" si="52"/>
        <v>7267.5</v>
      </c>
      <c r="P893" s="7">
        <f t="shared" si="53"/>
        <v>80.392156862745097</v>
      </c>
      <c r="Q893" s="2">
        <f t="shared" si="54"/>
        <v>7695</v>
      </c>
      <c r="R893" s="5" t="str">
        <f t="shared" si="55"/>
        <v>Above Average</v>
      </c>
      <c r="S893" s="5" t="str">
        <f>Table1[[#This Row],[Quarter]]&amp;" - "&amp;Table1[[#This Row],[City]]</f>
        <v>Q4 - Kolkata</v>
      </c>
    </row>
    <row r="894" spans="1:19" x14ac:dyDescent="0.3">
      <c r="A894" t="s">
        <v>965</v>
      </c>
      <c r="B894" s="1">
        <v>45621</v>
      </c>
      <c r="C894" t="s">
        <v>896</v>
      </c>
      <c r="D894" t="s">
        <v>800</v>
      </c>
      <c r="E894" t="s">
        <v>34</v>
      </c>
      <c r="F894" t="s">
        <v>21</v>
      </c>
      <c r="G894" t="s">
        <v>75</v>
      </c>
      <c r="H894">
        <v>6</v>
      </c>
      <c r="I894">
        <v>1750</v>
      </c>
      <c r="J894">
        <v>30</v>
      </c>
      <c r="K894">
        <v>7350</v>
      </c>
      <c r="L894" t="s">
        <v>45</v>
      </c>
      <c r="M894" s="2">
        <f>Table1[[#This Row],[Revenue_INR]]-Table1[[#This Row],[Price_INR]]</f>
        <v>5600</v>
      </c>
      <c r="N894">
        <f>YEAR(Table1[[#This Row],[Date]])</f>
        <v>2024</v>
      </c>
      <c r="O894" s="2">
        <f t="shared" si="52"/>
        <v>1225</v>
      </c>
      <c r="P894" s="7">
        <f t="shared" si="53"/>
        <v>76.19047619047619</v>
      </c>
      <c r="Q894" s="2">
        <f t="shared" si="54"/>
        <v>3150</v>
      </c>
      <c r="R894" s="5" t="str">
        <f t="shared" si="55"/>
        <v>Below Average</v>
      </c>
      <c r="S894" s="5" t="str">
        <f>Table1[[#This Row],[Quarter]]&amp;" - "&amp;Table1[[#This Row],[City]]</f>
        <v>Q4 - Delhi</v>
      </c>
    </row>
    <row r="895" spans="1:19" x14ac:dyDescent="0.3">
      <c r="A895" t="s">
        <v>966</v>
      </c>
      <c r="B895" s="1">
        <v>45621</v>
      </c>
      <c r="C895" t="s">
        <v>896</v>
      </c>
      <c r="D895" t="s">
        <v>800</v>
      </c>
      <c r="E895" t="s">
        <v>25</v>
      </c>
      <c r="F895" t="s">
        <v>16</v>
      </c>
      <c r="G895" t="s">
        <v>41</v>
      </c>
      <c r="H895">
        <v>1</v>
      </c>
      <c r="I895">
        <v>1800</v>
      </c>
      <c r="J895">
        <v>10</v>
      </c>
      <c r="K895">
        <v>1620</v>
      </c>
      <c r="L895" t="s">
        <v>66</v>
      </c>
      <c r="M895" s="2">
        <f>Table1[[#This Row],[Revenue_INR]]-Table1[[#This Row],[Price_INR]]</f>
        <v>-180</v>
      </c>
      <c r="N895">
        <f>YEAR(Table1[[#This Row],[Date]])</f>
        <v>2024</v>
      </c>
      <c r="O895" s="2">
        <f t="shared" si="52"/>
        <v>1620</v>
      </c>
      <c r="P895" s="7">
        <f t="shared" si="53"/>
        <v>-11.111111111111111</v>
      </c>
      <c r="Q895" s="2">
        <f t="shared" si="54"/>
        <v>180</v>
      </c>
      <c r="R895" s="5" t="str">
        <f t="shared" si="55"/>
        <v>Below Average</v>
      </c>
      <c r="S895" s="5" t="str">
        <f>Table1[[#This Row],[Quarter]]&amp;" - "&amp;Table1[[#This Row],[City]]</f>
        <v>Q4 - Hyderabad</v>
      </c>
    </row>
    <row r="896" spans="1:19" x14ac:dyDescent="0.3">
      <c r="A896" t="s">
        <v>967</v>
      </c>
      <c r="B896" s="1">
        <v>45622</v>
      </c>
      <c r="C896" t="s">
        <v>896</v>
      </c>
      <c r="D896" t="s">
        <v>800</v>
      </c>
      <c r="E896" t="s">
        <v>25</v>
      </c>
      <c r="F896" t="s">
        <v>47</v>
      </c>
      <c r="G896" t="s">
        <v>102</v>
      </c>
      <c r="H896">
        <v>3</v>
      </c>
      <c r="I896">
        <v>4760</v>
      </c>
      <c r="J896">
        <v>25</v>
      </c>
      <c r="K896">
        <v>10710</v>
      </c>
      <c r="L896" t="s">
        <v>28</v>
      </c>
      <c r="M896" s="2">
        <f>Table1[[#This Row],[Revenue_INR]]-Table1[[#This Row],[Price_INR]]</f>
        <v>5950</v>
      </c>
      <c r="N896">
        <f>YEAR(Table1[[#This Row],[Date]])</f>
        <v>2024</v>
      </c>
      <c r="O896" s="2">
        <f t="shared" si="52"/>
        <v>3570</v>
      </c>
      <c r="P896" s="7">
        <f t="shared" si="53"/>
        <v>55.555555555555557</v>
      </c>
      <c r="Q896" s="2">
        <f t="shared" si="54"/>
        <v>3570</v>
      </c>
      <c r="R896" s="5" t="str">
        <f t="shared" si="55"/>
        <v>Below Average</v>
      </c>
      <c r="S896" s="5" t="str">
        <f>Table1[[#This Row],[Quarter]]&amp;" - "&amp;Table1[[#This Row],[City]]</f>
        <v>Q4 - Hyderabad</v>
      </c>
    </row>
    <row r="897" spans="1:19" x14ac:dyDescent="0.3">
      <c r="A897" t="s">
        <v>968</v>
      </c>
      <c r="B897" s="1">
        <v>45622</v>
      </c>
      <c r="C897" t="s">
        <v>896</v>
      </c>
      <c r="D897" t="s">
        <v>800</v>
      </c>
      <c r="E897" t="s">
        <v>20</v>
      </c>
      <c r="F897" t="s">
        <v>26</v>
      </c>
      <c r="G897" t="s">
        <v>82</v>
      </c>
      <c r="H897">
        <v>6</v>
      </c>
      <c r="I897">
        <v>11920</v>
      </c>
      <c r="J897">
        <v>10</v>
      </c>
      <c r="K897">
        <v>64368</v>
      </c>
      <c r="L897" t="s">
        <v>39</v>
      </c>
      <c r="M897" s="2">
        <f>Table1[[#This Row],[Revenue_INR]]-Table1[[#This Row],[Price_INR]]</f>
        <v>52448</v>
      </c>
      <c r="N897">
        <f>YEAR(Table1[[#This Row],[Date]])</f>
        <v>2024</v>
      </c>
      <c r="O897" s="2">
        <f t="shared" si="52"/>
        <v>10728</v>
      </c>
      <c r="P897" s="7">
        <f t="shared" si="53"/>
        <v>81.481481481481481</v>
      </c>
      <c r="Q897" s="2">
        <f t="shared" si="54"/>
        <v>7152</v>
      </c>
      <c r="R897" s="5" t="str">
        <f t="shared" si="55"/>
        <v>Above Average</v>
      </c>
      <c r="S897" s="5" t="str">
        <f>Table1[[#This Row],[Quarter]]&amp;" - "&amp;Table1[[#This Row],[City]]</f>
        <v>Q4 - Mumbai</v>
      </c>
    </row>
    <row r="898" spans="1:19" x14ac:dyDescent="0.3">
      <c r="A898" t="s">
        <v>969</v>
      </c>
      <c r="B898" s="1">
        <v>45622</v>
      </c>
      <c r="C898" t="s">
        <v>896</v>
      </c>
      <c r="D898" t="s">
        <v>800</v>
      </c>
      <c r="E898" t="s">
        <v>15</v>
      </c>
      <c r="F898" t="s">
        <v>47</v>
      </c>
      <c r="G898" t="s">
        <v>51</v>
      </c>
      <c r="H898">
        <v>9</v>
      </c>
      <c r="I898">
        <v>5410</v>
      </c>
      <c r="J898">
        <v>25</v>
      </c>
      <c r="K898">
        <v>36517.5</v>
      </c>
      <c r="L898" t="s">
        <v>92</v>
      </c>
      <c r="M898" s="2">
        <f>Table1[[#This Row],[Revenue_INR]]-Table1[[#This Row],[Price_INR]]</f>
        <v>31107.5</v>
      </c>
      <c r="N898">
        <f>YEAR(Table1[[#This Row],[Date]])</f>
        <v>2024</v>
      </c>
      <c r="O898" s="2">
        <f t="shared" ref="O898:O961" si="56">K898/H898</f>
        <v>4057.5</v>
      </c>
      <c r="P898" s="7">
        <f t="shared" ref="P898:P961" si="57">M898/K898*100</f>
        <v>85.18518518518519</v>
      </c>
      <c r="Q898" s="2">
        <f t="shared" ref="Q898:Q961" si="58">I898*H898*J898/100</f>
        <v>12172.5</v>
      </c>
      <c r="R898" s="5" t="str">
        <f t="shared" ref="R898:R961" si="59">IF(K898&gt;AVERAGE($K$2:$K$1001),"Above Average","Below Average")</f>
        <v>Above Average</v>
      </c>
      <c r="S898" s="5" t="str">
        <f>Table1[[#This Row],[Quarter]]&amp;" - "&amp;Table1[[#This Row],[City]]</f>
        <v>Q4 - Kolkata</v>
      </c>
    </row>
    <row r="899" spans="1:19" x14ac:dyDescent="0.3">
      <c r="A899" t="s">
        <v>970</v>
      </c>
      <c r="B899" s="1">
        <v>45622</v>
      </c>
      <c r="C899" t="s">
        <v>896</v>
      </c>
      <c r="D899" t="s">
        <v>800</v>
      </c>
      <c r="E899" t="s">
        <v>15</v>
      </c>
      <c r="F899" t="s">
        <v>60</v>
      </c>
      <c r="G899" t="s">
        <v>99</v>
      </c>
      <c r="H899">
        <v>8</v>
      </c>
      <c r="I899">
        <v>1390</v>
      </c>
      <c r="J899">
        <v>25</v>
      </c>
      <c r="K899">
        <v>8340</v>
      </c>
      <c r="L899" t="s">
        <v>92</v>
      </c>
      <c r="M899" s="2">
        <f>Table1[[#This Row],[Revenue_INR]]-Table1[[#This Row],[Price_INR]]</f>
        <v>6950</v>
      </c>
      <c r="N899">
        <f>YEAR(Table1[[#This Row],[Date]])</f>
        <v>2024</v>
      </c>
      <c r="O899" s="2">
        <f t="shared" si="56"/>
        <v>1042.5</v>
      </c>
      <c r="P899" s="7">
        <f t="shared" si="57"/>
        <v>83.333333333333343</v>
      </c>
      <c r="Q899" s="2">
        <f t="shared" si="58"/>
        <v>2780</v>
      </c>
      <c r="R899" s="5" t="str">
        <f t="shared" si="59"/>
        <v>Below Average</v>
      </c>
      <c r="S899" s="5" t="str">
        <f>Table1[[#This Row],[Quarter]]&amp;" - "&amp;Table1[[#This Row],[City]]</f>
        <v>Q4 - Kolkata</v>
      </c>
    </row>
    <row r="900" spans="1:19" x14ac:dyDescent="0.3">
      <c r="A900" t="s">
        <v>971</v>
      </c>
      <c r="B900" s="1">
        <v>45622</v>
      </c>
      <c r="C900" t="s">
        <v>896</v>
      </c>
      <c r="D900" t="s">
        <v>800</v>
      </c>
      <c r="E900" t="s">
        <v>34</v>
      </c>
      <c r="F900" t="s">
        <v>31</v>
      </c>
      <c r="G900" t="s">
        <v>35</v>
      </c>
      <c r="H900">
        <v>13</v>
      </c>
      <c r="I900">
        <v>5580</v>
      </c>
      <c r="J900">
        <v>0</v>
      </c>
      <c r="K900">
        <v>72540</v>
      </c>
      <c r="L900" t="s">
        <v>45</v>
      </c>
      <c r="M900" s="2">
        <f>Table1[[#This Row],[Revenue_INR]]-Table1[[#This Row],[Price_INR]]</f>
        <v>66960</v>
      </c>
      <c r="N900">
        <f>YEAR(Table1[[#This Row],[Date]])</f>
        <v>2024</v>
      </c>
      <c r="O900" s="2">
        <f t="shared" si="56"/>
        <v>5580</v>
      </c>
      <c r="P900" s="7">
        <f t="shared" si="57"/>
        <v>92.307692307692307</v>
      </c>
      <c r="Q900" s="2">
        <f t="shared" si="58"/>
        <v>0</v>
      </c>
      <c r="R900" s="5" t="str">
        <f t="shared" si="59"/>
        <v>Above Average</v>
      </c>
      <c r="S900" s="5" t="str">
        <f>Table1[[#This Row],[Quarter]]&amp;" - "&amp;Table1[[#This Row],[City]]</f>
        <v>Q4 - Delhi</v>
      </c>
    </row>
    <row r="901" spans="1:19" x14ac:dyDescent="0.3">
      <c r="A901" t="s">
        <v>972</v>
      </c>
      <c r="B901" s="1">
        <v>45622</v>
      </c>
      <c r="C901" t="s">
        <v>896</v>
      </c>
      <c r="D901" t="s">
        <v>800</v>
      </c>
      <c r="E901" t="s">
        <v>20</v>
      </c>
      <c r="F901" t="s">
        <v>21</v>
      </c>
      <c r="G901" t="s">
        <v>71</v>
      </c>
      <c r="H901">
        <v>9</v>
      </c>
      <c r="I901">
        <v>1430</v>
      </c>
      <c r="J901">
        <v>30</v>
      </c>
      <c r="K901">
        <v>9009</v>
      </c>
      <c r="L901" t="s">
        <v>23</v>
      </c>
      <c r="M901" s="2">
        <f>Table1[[#This Row],[Revenue_INR]]-Table1[[#This Row],[Price_INR]]</f>
        <v>7579</v>
      </c>
      <c r="N901">
        <f>YEAR(Table1[[#This Row],[Date]])</f>
        <v>2024</v>
      </c>
      <c r="O901" s="2">
        <f t="shared" si="56"/>
        <v>1001</v>
      </c>
      <c r="P901" s="7">
        <f t="shared" si="57"/>
        <v>84.126984126984127</v>
      </c>
      <c r="Q901" s="2">
        <f t="shared" si="58"/>
        <v>3861</v>
      </c>
      <c r="R901" s="5" t="str">
        <f t="shared" si="59"/>
        <v>Below Average</v>
      </c>
      <c r="S901" s="5" t="str">
        <f>Table1[[#This Row],[Quarter]]&amp;" - "&amp;Table1[[#This Row],[City]]</f>
        <v>Q4 - Mumbai</v>
      </c>
    </row>
    <row r="902" spans="1:19" x14ac:dyDescent="0.3">
      <c r="A902" t="s">
        <v>973</v>
      </c>
      <c r="B902" s="1">
        <v>45622</v>
      </c>
      <c r="C902" t="s">
        <v>896</v>
      </c>
      <c r="D902" t="s">
        <v>800</v>
      </c>
      <c r="E902" t="s">
        <v>20</v>
      </c>
      <c r="F902" t="s">
        <v>16</v>
      </c>
      <c r="G902" t="s">
        <v>44</v>
      </c>
      <c r="H902">
        <v>14</v>
      </c>
      <c r="I902">
        <v>520</v>
      </c>
      <c r="J902">
        <v>15</v>
      </c>
      <c r="K902">
        <v>6188</v>
      </c>
      <c r="L902" t="s">
        <v>23</v>
      </c>
      <c r="M902" s="2">
        <f>Table1[[#This Row],[Revenue_INR]]-Table1[[#This Row],[Price_INR]]</f>
        <v>5668</v>
      </c>
      <c r="N902">
        <f>YEAR(Table1[[#This Row],[Date]])</f>
        <v>2024</v>
      </c>
      <c r="O902" s="2">
        <f t="shared" si="56"/>
        <v>442</v>
      </c>
      <c r="P902" s="7">
        <f t="shared" si="57"/>
        <v>91.596638655462186</v>
      </c>
      <c r="Q902" s="2">
        <f t="shared" si="58"/>
        <v>1092</v>
      </c>
      <c r="R902" s="5" t="str">
        <f t="shared" si="59"/>
        <v>Below Average</v>
      </c>
      <c r="S902" s="5" t="str">
        <f>Table1[[#This Row],[Quarter]]&amp;" - "&amp;Table1[[#This Row],[City]]</f>
        <v>Q4 - Mumbai</v>
      </c>
    </row>
    <row r="903" spans="1:19" x14ac:dyDescent="0.3">
      <c r="A903" t="s">
        <v>974</v>
      </c>
      <c r="B903" s="1">
        <v>45623</v>
      </c>
      <c r="C903" t="s">
        <v>896</v>
      </c>
      <c r="D903" t="s">
        <v>800</v>
      </c>
      <c r="E903" t="s">
        <v>25</v>
      </c>
      <c r="F903" t="s">
        <v>16</v>
      </c>
      <c r="G903" t="s">
        <v>69</v>
      </c>
      <c r="H903">
        <v>11</v>
      </c>
      <c r="I903">
        <v>1820</v>
      </c>
      <c r="J903">
        <v>25</v>
      </c>
      <c r="K903">
        <v>15015</v>
      </c>
      <c r="L903" t="s">
        <v>28</v>
      </c>
      <c r="M903" s="2">
        <f>Table1[[#This Row],[Revenue_INR]]-Table1[[#This Row],[Price_INR]]</f>
        <v>13195</v>
      </c>
      <c r="N903">
        <f>YEAR(Table1[[#This Row],[Date]])</f>
        <v>2024</v>
      </c>
      <c r="O903" s="2">
        <f t="shared" si="56"/>
        <v>1365</v>
      </c>
      <c r="P903" s="7">
        <f t="shared" si="57"/>
        <v>87.878787878787875</v>
      </c>
      <c r="Q903" s="2">
        <f t="shared" si="58"/>
        <v>5005</v>
      </c>
      <c r="R903" s="5" t="str">
        <f t="shared" si="59"/>
        <v>Below Average</v>
      </c>
      <c r="S903" s="5" t="str">
        <f>Table1[[#This Row],[Quarter]]&amp;" - "&amp;Table1[[#This Row],[City]]</f>
        <v>Q4 - Hyderabad</v>
      </c>
    </row>
    <row r="904" spans="1:19" x14ac:dyDescent="0.3">
      <c r="A904" t="s">
        <v>975</v>
      </c>
      <c r="B904" s="1">
        <v>45623</v>
      </c>
      <c r="C904" t="s">
        <v>896</v>
      </c>
      <c r="D904" t="s">
        <v>800</v>
      </c>
      <c r="E904" t="s">
        <v>15</v>
      </c>
      <c r="F904" t="s">
        <v>21</v>
      </c>
      <c r="G904" t="s">
        <v>75</v>
      </c>
      <c r="H904">
        <v>10</v>
      </c>
      <c r="I904">
        <v>2460</v>
      </c>
      <c r="J904">
        <v>5</v>
      </c>
      <c r="K904">
        <v>23370</v>
      </c>
      <c r="L904" t="s">
        <v>53</v>
      </c>
      <c r="M904" s="2">
        <f>Table1[[#This Row],[Revenue_INR]]-Table1[[#This Row],[Price_INR]]</f>
        <v>20910</v>
      </c>
      <c r="N904">
        <f>YEAR(Table1[[#This Row],[Date]])</f>
        <v>2024</v>
      </c>
      <c r="O904" s="2">
        <f t="shared" si="56"/>
        <v>2337</v>
      </c>
      <c r="P904" s="7">
        <f t="shared" si="57"/>
        <v>89.473684210526315</v>
      </c>
      <c r="Q904" s="2">
        <f t="shared" si="58"/>
        <v>1230</v>
      </c>
      <c r="R904" s="5" t="str">
        <f t="shared" si="59"/>
        <v>Below Average</v>
      </c>
      <c r="S904" s="5" t="str">
        <f>Table1[[#This Row],[Quarter]]&amp;" - "&amp;Table1[[#This Row],[City]]</f>
        <v>Q4 - Kolkata</v>
      </c>
    </row>
    <row r="905" spans="1:19" x14ac:dyDescent="0.3">
      <c r="A905" t="s">
        <v>976</v>
      </c>
      <c r="B905" s="1">
        <v>45623</v>
      </c>
      <c r="C905" t="s">
        <v>896</v>
      </c>
      <c r="D905" t="s">
        <v>800</v>
      </c>
      <c r="E905" t="s">
        <v>34</v>
      </c>
      <c r="F905" t="s">
        <v>16</v>
      </c>
      <c r="G905" t="s">
        <v>44</v>
      </c>
      <c r="H905">
        <v>15</v>
      </c>
      <c r="I905">
        <v>1100</v>
      </c>
      <c r="J905">
        <v>30</v>
      </c>
      <c r="K905">
        <v>11550</v>
      </c>
      <c r="L905" t="s">
        <v>49</v>
      </c>
      <c r="M905" s="2">
        <f>Table1[[#This Row],[Revenue_INR]]-Table1[[#This Row],[Price_INR]]</f>
        <v>10450</v>
      </c>
      <c r="N905">
        <f>YEAR(Table1[[#This Row],[Date]])</f>
        <v>2024</v>
      </c>
      <c r="O905" s="2">
        <f t="shared" si="56"/>
        <v>770</v>
      </c>
      <c r="P905" s="7">
        <f t="shared" si="57"/>
        <v>90.476190476190482</v>
      </c>
      <c r="Q905" s="2">
        <f t="shared" si="58"/>
        <v>4950</v>
      </c>
      <c r="R905" s="5" t="str">
        <f t="shared" si="59"/>
        <v>Below Average</v>
      </c>
      <c r="S905" s="5" t="str">
        <f>Table1[[#This Row],[Quarter]]&amp;" - "&amp;Table1[[#This Row],[City]]</f>
        <v>Q4 - Delhi</v>
      </c>
    </row>
    <row r="906" spans="1:19" x14ac:dyDescent="0.3">
      <c r="A906" t="s">
        <v>977</v>
      </c>
      <c r="B906" s="1">
        <v>45623</v>
      </c>
      <c r="C906" t="s">
        <v>896</v>
      </c>
      <c r="D906" t="s">
        <v>800</v>
      </c>
      <c r="E906" t="s">
        <v>34</v>
      </c>
      <c r="F906" t="s">
        <v>31</v>
      </c>
      <c r="G906" t="s">
        <v>32</v>
      </c>
      <c r="H906">
        <v>12</v>
      </c>
      <c r="I906">
        <v>4350</v>
      </c>
      <c r="J906">
        <v>25</v>
      </c>
      <c r="K906">
        <v>39150</v>
      </c>
      <c r="L906" t="s">
        <v>45</v>
      </c>
      <c r="M906" s="2">
        <f>Table1[[#This Row],[Revenue_INR]]-Table1[[#This Row],[Price_INR]]</f>
        <v>34800</v>
      </c>
      <c r="N906">
        <f>YEAR(Table1[[#This Row],[Date]])</f>
        <v>2024</v>
      </c>
      <c r="O906" s="2">
        <f t="shared" si="56"/>
        <v>3262.5</v>
      </c>
      <c r="P906" s="7">
        <f t="shared" si="57"/>
        <v>88.888888888888886</v>
      </c>
      <c r="Q906" s="2">
        <f t="shared" si="58"/>
        <v>13050</v>
      </c>
      <c r="R906" s="5" t="str">
        <f t="shared" si="59"/>
        <v>Above Average</v>
      </c>
      <c r="S906" s="5" t="str">
        <f>Table1[[#This Row],[Quarter]]&amp;" - "&amp;Table1[[#This Row],[City]]</f>
        <v>Q4 - Delhi</v>
      </c>
    </row>
    <row r="907" spans="1:19" x14ac:dyDescent="0.3">
      <c r="A907" t="s">
        <v>978</v>
      </c>
      <c r="B907" s="1">
        <v>45623</v>
      </c>
      <c r="C907" t="s">
        <v>896</v>
      </c>
      <c r="D907" t="s">
        <v>800</v>
      </c>
      <c r="E907" t="s">
        <v>20</v>
      </c>
      <c r="F907" t="s">
        <v>31</v>
      </c>
      <c r="G907" t="s">
        <v>35</v>
      </c>
      <c r="H907">
        <v>2</v>
      </c>
      <c r="I907">
        <v>4310</v>
      </c>
      <c r="J907">
        <v>20</v>
      </c>
      <c r="K907">
        <v>6896</v>
      </c>
      <c r="L907" t="s">
        <v>23</v>
      </c>
      <c r="M907" s="2">
        <f>Table1[[#This Row],[Revenue_INR]]-Table1[[#This Row],[Price_INR]]</f>
        <v>2586</v>
      </c>
      <c r="N907">
        <f>YEAR(Table1[[#This Row],[Date]])</f>
        <v>2024</v>
      </c>
      <c r="O907" s="2">
        <f t="shared" si="56"/>
        <v>3448</v>
      </c>
      <c r="P907" s="7">
        <f t="shared" si="57"/>
        <v>37.5</v>
      </c>
      <c r="Q907" s="2">
        <f t="shared" si="58"/>
        <v>1724</v>
      </c>
      <c r="R907" s="5" t="str">
        <f t="shared" si="59"/>
        <v>Below Average</v>
      </c>
      <c r="S907" s="5" t="str">
        <f>Table1[[#This Row],[Quarter]]&amp;" - "&amp;Table1[[#This Row],[City]]</f>
        <v>Q4 - Mumbai</v>
      </c>
    </row>
    <row r="908" spans="1:19" x14ac:dyDescent="0.3">
      <c r="A908" t="s">
        <v>979</v>
      </c>
      <c r="B908" s="1">
        <v>45624</v>
      </c>
      <c r="C908" t="s">
        <v>896</v>
      </c>
      <c r="D908" t="s">
        <v>800</v>
      </c>
      <c r="E908" t="s">
        <v>15</v>
      </c>
      <c r="F908" t="s">
        <v>60</v>
      </c>
      <c r="G908" t="s">
        <v>124</v>
      </c>
      <c r="H908">
        <v>12</v>
      </c>
      <c r="I908">
        <v>980</v>
      </c>
      <c r="J908">
        <v>5</v>
      </c>
      <c r="K908">
        <v>11172</v>
      </c>
      <c r="L908" t="s">
        <v>53</v>
      </c>
      <c r="M908" s="2">
        <f>Table1[[#This Row],[Revenue_INR]]-Table1[[#This Row],[Price_INR]]</f>
        <v>10192</v>
      </c>
      <c r="N908">
        <f>YEAR(Table1[[#This Row],[Date]])</f>
        <v>2024</v>
      </c>
      <c r="O908" s="2">
        <f t="shared" si="56"/>
        <v>931</v>
      </c>
      <c r="P908" s="7">
        <f t="shared" si="57"/>
        <v>91.228070175438589</v>
      </c>
      <c r="Q908" s="2">
        <f t="shared" si="58"/>
        <v>588</v>
      </c>
      <c r="R908" s="5" t="str">
        <f t="shared" si="59"/>
        <v>Below Average</v>
      </c>
      <c r="S908" s="5" t="str">
        <f>Table1[[#This Row],[Quarter]]&amp;" - "&amp;Table1[[#This Row],[City]]</f>
        <v>Q4 - Kolkata</v>
      </c>
    </row>
    <row r="909" spans="1:19" x14ac:dyDescent="0.3">
      <c r="A909" t="s">
        <v>980</v>
      </c>
      <c r="B909" s="1">
        <v>45624</v>
      </c>
      <c r="C909" t="s">
        <v>896</v>
      </c>
      <c r="D909" t="s">
        <v>800</v>
      </c>
      <c r="E909" t="s">
        <v>34</v>
      </c>
      <c r="F909" t="s">
        <v>16</v>
      </c>
      <c r="G909" t="s">
        <v>17</v>
      </c>
      <c r="H909">
        <v>1</v>
      </c>
      <c r="I909">
        <v>2630</v>
      </c>
      <c r="J909">
        <v>10</v>
      </c>
      <c r="K909">
        <v>2367</v>
      </c>
      <c r="L909" t="s">
        <v>49</v>
      </c>
      <c r="M909" s="2">
        <f>Table1[[#This Row],[Revenue_INR]]-Table1[[#This Row],[Price_INR]]</f>
        <v>-263</v>
      </c>
      <c r="N909">
        <f>YEAR(Table1[[#This Row],[Date]])</f>
        <v>2024</v>
      </c>
      <c r="O909" s="2">
        <f t="shared" si="56"/>
        <v>2367</v>
      </c>
      <c r="P909" s="7">
        <f t="shared" si="57"/>
        <v>-11.111111111111111</v>
      </c>
      <c r="Q909" s="2">
        <f t="shared" si="58"/>
        <v>263</v>
      </c>
      <c r="R909" s="5" t="str">
        <f t="shared" si="59"/>
        <v>Below Average</v>
      </c>
      <c r="S909" s="5" t="str">
        <f>Table1[[#This Row],[Quarter]]&amp;" - "&amp;Table1[[#This Row],[City]]</f>
        <v>Q4 - Delhi</v>
      </c>
    </row>
    <row r="910" spans="1:19" x14ac:dyDescent="0.3">
      <c r="A910" t="s">
        <v>981</v>
      </c>
      <c r="B910" s="1">
        <v>45624</v>
      </c>
      <c r="C910" t="s">
        <v>896</v>
      </c>
      <c r="D910" t="s">
        <v>800</v>
      </c>
      <c r="E910" t="s">
        <v>15</v>
      </c>
      <c r="F910" t="s">
        <v>21</v>
      </c>
      <c r="G910" t="s">
        <v>22</v>
      </c>
      <c r="H910">
        <v>7</v>
      </c>
      <c r="I910">
        <v>2720</v>
      </c>
      <c r="J910">
        <v>25</v>
      </c>
      <c r="K910">
        <v>14280</v>
      </c>
      <c r="L910" t="s">
        <v>53</v>
      </c>
      <c r="M910" s="2">
        <f>Table1[[#This Row],[Revenue_INR]]-Table1[[#This Row],[Price_INR]]</f>
        <v>11560</v>
      </c>
      <c r="N910">
        <f>YEAR(Table1[[#This Row],[Date]])</f>
        <v>2024</v>
      </c>
      <c r="O910" s="2">
        <f t="shared" si="56"/>
        <v>2040</v>
      </c>
      <c r="P910" s="7">
        <f t="shared" si="57"/>
        <v>80.952380952380949</v>
      </c>
      <c r="Q910" s="2">
        <f t="shared" si="58"/>
        <v>4760</v>
      </c>
      <c r="R910" s="5" t="str">
        <f t="shared" si="59"/>
        <v>Below Average</v>
      </c>
      <c r="S910" s="5" t="str">
        <f>Table1[[#This Row],[Quarter]]&amp;" - "&amp;Table1[[#This Row],[City]]</f>
        <v>Q4 - Kolkata</v>
      </c>
    </row>
    <row r="911" spans="1:19" x14ac:dyDescent="0.3">
      <c r="A911" t="s">
        <v>982</v>
      </c>
      <c r="B911" s="1">
        <v>45624</v>
      </c>
      <c r="C911" t="s">
        <v>896</v>
      </c>
      <c r="D911" t="s">
        <v>800</v>
      </c>
      <c r="E911" t="s">
        <v>20</v>
      </c>
      <c r="F911" t="s">
        <v>47</v>
      </c>
      <c r="G911" t="s">
        <v>48</v>
      </c>
      <c r="H911">
        <v>12</v>
      </c>
      <c r="I911">
        <v>4370</v>
      </c>
      <c r="J911">
        <v>15</v>
      </c>
      <c r="K911">
        <v>44574</v>
      </c>
      <c r="L911" t="s">
        <v>39</v>
      </c>
      <c r="M911" s="2">
        <f>Table1[[#This Row],[Revenue_INR]]-Table1[[#This Row],[Price_INR]]</f>
        <v>40204</v>
      </c>
      <c r="N911">
        <f>YEAR(Table1[[#This Row],[Date]])</f>
        <v>2024</v>
      </c>
      <c r="O911" s="2">
        <f t="shared" si="56"/>
        <v>3714.5</v>
      </c>
      <c r="P911" s="7">
        <f t="shared" si="57"/>
        <v>90.196078431372555</v>
      </c>
      <c r="Q911" s="2">
        <f t="shared" si="58"/>
        <v>7866</v>
      </c>
      <c r="R911" s="5" t="str">
        <f t="shared" si="59"/>
        <v>Above Average</v>
      </c>
      <c r="S911" s="5" t="str">
        <f>Table1[[#This Row],[Quarter]]&amp;" - "&amp;Table1[[#This Row],[City]]</f>
        <v>Q4 - Mumbai</v>
      </c>
    </row>
    <row r="912" spans="1:19" x14ac:dyDescent="0.3">
      <c r="A912" t="s">
        <v>983</v>
      </c>
      <c r="B912" s="1">
        <v>45625</v>
      </c>
      <c r="C912" t="s">
        <v>896</v>
      </c>
      <c r="D912" t="s">
        <v>800</v>
      </c>
      <c r="E912" t="s">
        <v>15</v>
      </c>
      <c r="F912" t="s">
        <v>47</v>
      </c>
      <c r="G912" t="s">
        <v>55</v>
      </c>
      <c r="H912">
        <v>13</v>
      </c>
      <c r="I912">
        <v>5150</v>
      </c>
      <c r="J912">
        <v>20</v>
      </c>
      <c r="K912">
        <v>53560</v>
      </c>
      <c r="L912" t="s">
        <v>92</v>
      </c>
      <c r="M912" s="2">
        <f>Table1[[#This Row],[Revenue_INR]]-Table1[[#This Row],[Price_INR]]</f>
        <v>48410</v>
      </c>
      <c r="N912">
        <f>YEAR(Table1[[#This Row],[Date]])</f>
        <v>2024</v>
      </c>
      <c r="O912" s="2">
        <f t="shared" si="56"/>
        <v>4120</v>
      </c>
      <c r="P912" s="7">
        <f t="shared" si="57"/>
        <v>90.384615384615387</v>
      </c>
      <c r="Q912" s="2">
        <f t="shared" si="58"/>
        <v>13390</v>
      </c>
      <c r="R912" s="5" t="str">
        <f t="shared" si="59"/>
        <v>Above Average</v>
      </c>
      <c r="S912" s="5" t="str">
        <f>Table1[[#This Row],[Quarter]]&amp;" - "&amp;Table1[[#This Row],[City]]</f>
        <v>Q4 - Kolkata</v>
      </c>
    </row>
    <row r="913" spans="1:19" x14ac:dyDescent="0.3">
      <c r="A913" t="s">
        <v>984</v>
      </c>
      <c r="B913" s="1">
        <v>45625</v>
      </c>
      <c r="C913" t="s">
        <v>896</v>
      </c>
      <c r="D913" t="s">
        <v>800</v>
      </c>
      <c r="E913" t="s">
        <v>34</v>
      </c>
      <c r="F913" t="s">
        <v>47</v>
      </c>
      <c r="G913" t="s">
        <v>48</v>
      </c>
      <c r="H913">
        <v>14</v>
      </c>
      <c r="I913">
        <v>5010</v>
      </c>
      <c r="J913">
        <v>30</v>
      </c>
      <c r="K913">
        <v>49098</v>
      </c>
      <c r="L913" t="s">
        <v>36</v>
      </c>
      <c r="M913" s="2">
        <f>Table1[[#This Row],[Revenue_INR]]-Table1[[#This Row],[Price_INR]]</f>
        <v>44088</v>
      </c>
      <c r="N913">
        <f>YEAR(Table1[[#This Row],[Date]])</f>
        <v>2024</v>
      </c>
      <c r="O913" s="2">
        <f t="shared" si="56"/>
        <v>3507</v>
      </c>
      <c r="P913" s="7">
        <f t="shared" si="57"/>
        <v>89.795918367346943</v>
      </c>
      <c r="Q913" s="2">
        <f t="shared" si="58"/>
        <v>21042</v>
      </c>
      <c r="R913" s="5" t="str">
        <f t="shared" si="59"/>
        <v>Above Average</v>
      </c>
      <c r="S913" s="5" t="str">
        <f>Table1[[#This Row],[Quarter]]&amp;" - "&amp;Table1[[#This Row],[City]]</f>
        <v>Q4 - Delhi</v>
      </c>
    </row>
    <row r="914" spans="1:19" x14ac:dyDescent="0.3">
      <c r="A914" t="s">
        <v>985</v>
      </c>
      <c r="B914" s="1">
        <v>45626</v>
      </c>
      <c r="C914" t="s">
        <v>896</v>
      </c>
      <c r="D914" t="s">
        <v>800</v>
      </c>
      <c r="E914" t="s">
        <v>20</v>
      </c>
      <c r="F914" t="s">
        <v>16</v>
      </c>
      <c r="G914" t="s">
        <v>41</v>
      </c>
      <c r="H914">
        <v>7</v>
      </c>
      <c r="I914">
        <v>1770</v>
      </c>
      <c r="J914">
        <v>0</v>
      </c>
      <c r="K914">
        <v>12390</v>
      </c>
      <c r="L914" t="s">
        <v>39</v>
      </c>
      <c r="M914" s="2">
        <f>Table1[[#This Row],[Revenue_INR]]-Table1[[#This Row],[Price_INR]]</f>
        <v>10620</v>
      </c>
      <c r="N914">
        <f>YEAR(Table1[[#This Row],[Date]])</f>
        <v>2024</v>
      </c>
      <c r="O914" s="2">
        <f t="shared" si="56"/>
        <v>1770</v>
      </c>
      <c r="P914" s="7">
        <f t="shared" si="57"/>
        <v>85.714285714285708</v>
      </c>
      <c r="Q914" s="2">
        <f t="shared" si="58"/>
        <v>0</v>
      </c>
      <c r="R914" s="5" t="str">
        <f t="shared" si="59"/>
        <v>Below Average</v>
      </c>
      <c r="S914" s="5" t="str">
        <f>Table1[[#This Row],[Quarter]]&amp;" - "&amp;Table1[[#This Row],[City]]</f>
        <v>Q4 - Mumbai</v>
      </c>
    </row>
    <row r="915" spans="1:19" x14ac:dyDescent="0.3">
      <c r="A915" t="s">
        <v>986</v>
      </c>
      <c r="B915" s="1">
        <v>45626</v>
      </c>
      <c r="C915" t="s">
        <v>896</v>
      </c>
      <c r="D915" t="s">
        <v>800</v>
      </c>
      <c r="E915" t="s">
        <v>34</v>
      </c>
      <c r="F915" t="s">
        <v>60</v>
      </c>
      <c r="G915" t="s">
        <v>61</v>
      </c>
      <c r="H915">
        <v>10</v>
      </c>
      <c r="I915">
        <v>1130</v>
      </c>
      <c r="J915">
        <v>30</v>
      </c>
      <c r="K915">
        <v>7910</v>
      </c>
      <c r="L915" t="s">
        <v>36</v>
      </c>
      <c r="M915" s="2">
        <f>Table1[[#This Row],[Revenue_INR]]-Table1[[#This Row],[Price_INR]]</f>
        <v>6780</v>
      </c>
      <c r="N915">
        <f>YEAR(Table1[[#This Row],[Date]])</f>
        <v>2024</v>
      </c>
      <c r="O915" s="2">
        <f t="shared" si="56"/>
        <v>791</v>
      </c>
      <c r="P915" s="7">
        <f t="shared" si="57"/>
        <v>85.714285714285708</v>
      </c>
      <c r="Q915" s="2">
        <f t="shared" si="58"/>
        <v>3390</v>
      </c>
      <c r="R915" s="5" t="str">
        <f t="shared" si="59"/>
        <v>Below Average</v>
      </c>
      <c r="S915" s="5" t="str">
        <f>Table1[[#This Row],[Quarter]]&amp;" - "&amp;Table1[[#This Row],[City]]</f>
        <v>Q4 - Delhi</v>
      </c>
    </row>
    <row r="916" spans="1:19" x14ac:dyDescent="0.3">
      <c r="A916" t="s">
        <v>987</v>
      </c>
      <c r="B916" s="1">
        <v>45626</v>
      </c>
      <c r="C916" t="s">
        <v>896</v>
      </c>
      <c r="D916" t="s">
        <v>800</v>
      </c>
      <c r="E916" t="s">
        <v>15</v>
      </c>
      <c r="F916" t="s">
        <v>47</v>
      </c>
      <c r="G916" t="s">
        <v>102</v>
      </c>
      <c r="H916">
        <v>1</v>
      </c>
      <c r="I916">
        <v>8050</v>
      </c>
      <c r="J916">
        <v>25</v>
      </c>
      <c r="K916">
        <v>6037.5</v>
      </c>
      <c r="L916" t="s">
        <v>18</v>
      </c>
      <c r="M916" s="2">
        <f>Table1[[#This Row],[Revenue_INR]]-Table1[[#This Row],[Price_INR]]</f>
        <v>-2012.5</v>
      </c>
      <c r="N916">
        <f>YEAR(Table1[[#This Row],[Date]])</f>
        <v>2024</v>
      </c>
      <c r="O916" s="2">
        <f t="shared" si="56"/>
        <v>6037.5</v>
      </c>
      <c r="P916" s="7">
        <f t="shared" si="57"/>
        <v>-33.333333333333329</v>
      </c>
      <c r="Q916" s="2">
        <f t="shared" si="58"/>
        <v>2012.5</v>
      </c>
      <c r="R916" s="5" t="str">
        <f t="shared" si="59"/>
        <v>Below Average</v>
      </c>
      <c r="S916" s="5" t="str">
        <f>Table1[[#This Row],[Quarter]]&amp;" - "&amp;Table1[[#This Row],[City]]</f>
        <v>Q4 - Kolkata</v>
      </c>
    </row>
    <row r="917" spans="1:19" x14ac:dyDescent="0.3">
      <c r="A917" t="s">
        <v>988</v>
      </c>
      <c r="B917" s="1">
        <v>45627</v>
      </c>
      <c r="C917" t="s">
        <v>989</v>
      </c>
      <c r="D917" t="s">
        <v>800</v>
      </c>
      <c r="E917" t="s">
        <v>20</v>
      </c>
      <c r="F917" t="s">
        <v>60</v>
      </c>
      <c r="G917" t="s">
        <v>99</v>
      </c>
      <c r="H917">
        <v>9</v>
      </c>
      <c r="I917">
        <v>2290</v>
      </c>
      <c r="J917">
        <v>5</v>
      </c>
      <c r="K917">
        <v>19579.5</v>
      </c>
      <c r="L917" t="s">
        <v>77</v>
      </c>
      <c r="M917" s="2">
        <f>Table1[[#This Row],[Revenue_INR]]-Table1[[#This Row],[Price_INR]]</f>
        <v>17289.5</v>
      </c>
      <c r="N917">
        <f>YEAR(Table1[[#This Row],[Date]])</f>
        <v>2024</v>
      </c>
      <c r="O917" s="2">
        <f t="shared" si="56"/>
        <v>2175.5</v>
      </c>
      <c r="P917" s="7">
        <f t="shared" si="57"/>
        <v>88.304093567251456</v>
      </c>
      <c r="Q917" s="2">
        <f t="shared" si="58"/>
        <v>1030.5</v>
      </c>
      <c r="R917" s="5" t="str">
        <f t="shared" si="59"/>
        <v>Below Average</v>
      </c>
      <c r="S917" s="5" t="str">
        <f>Table1[[#This Row],[Quarter]]&amp;" - "&amp;Table1[[#This Row],[City]]</f>
        <v>Q4 - Mumbai</v>
      </c>
    </row>
    <row r="918" spans="1:19" x14ac:dyDescent="0.3">
      <c r="A918" t="s">
        <v>990</v>
      </c>
      <c r="B918" s="1">
        <v>45627</v>
      </c>
      <c r="C918" t="s">
        <v>989</v>
      </c>
      <c r="D918" t="s">
        <v>800</v>
      </c>
      <c r="E918" t="s">
        <v>20</v>
      </c>
      <c r="F918" t="s">
        <v>26</v>
      </c>
      <c r="G918" t="s">
        <v>58</v>
      </c>
      <c r="H918">
        <v>3</v>
      </c>
      <c r="I918">
        <v>1680</v>
      </c>
      <c r="J918">
        <v>15</v>
      </c>
      <c r="K918">
        <v>4284</v>
      </c>
      <c r="L918" t="s">
        <v>39</v>
      </c>
      <c r="M918" s="2">
        <f>Table1[[#This Row],[Revenue_INR]]-Table1[[#This Row],[Price_INR]]</f>
        <v>2604</v>
      </c>
      <c r="N918">
        <f>YEAR(Table1[[#This Row],[Date]])</f>
        <v>2024</v>
      </c>
      <c r="O918" s="2">
        <f t="shared" si="56"/>
        <v>1428</v>
      </c>
      <c r="P918" s="7">
        <f t="shared" si="57"/>
        <v>60.784313725490193</v>
      </c>
      <c r="Q918" s="2">
        <f t="shared" si="58"/>
        <v>756</v>
      </c>
      <c r="R918" s="5" t="str">
        <f t="shared" si="59"/>
        <v>Below Average</v>
      </c>
      <c r="S918" s="5" t="str">
        <f>Table1[[#This Row],[Quarter]]&amp;" - "&amp;Table1[[#This Row],[City]]</f>
        <v>Q4 - Mumbai</v>
      </c>
    </row>
    <row r="919" spans="1:19" x14ac:dyDescent="0.3">
      <c r="A919" t="s">
        <v>991</v>
      </c>
      <c r="B919" s="1">
        <v>45627</v>
      </c>
      <c r="C919" t="s">
        <v>989</v>
      </c>
      <c r="D919" t="s">
        <v>800</v>
      </c>
      <c r="E919" t="s">
        <v>15</v>
      </c>
      <c r="F919" t="s">
        <v>16</v>
      </c>
      <c r="G919" t="s">
        <v>17</v>
      </c>
      <c r="H919">
        <v>12</v>
      </c>
      <c r="I919">
        <v>2140</v>
      </c>
      <c r="J919">
        <v>0</v>
      </c>
      <c r="K919">
        <v>25680</v>
      </c>
      <c r="L919" t="s">
        <v>53</v>
      </c>
      <c r="M919" s="2">
        <f>Table1[[#This Row],[Revenue_INR]]-Table1[[#This Row],[Price_INR]]</f>
        <v>23540</v>
      </c>
      <c r="N919">
        <f>YEAR(Table1[[#This Row],[Date]])</f>
        <v>2024</v>
      </c>
      <c r="O919" s="2">
        <f t="shared" si="56"/>
        <v>2140</v>
      </c>
      <c r="P919" s="7">
        <f t="shared" si="57"/>
        <v>91.666666666666657</v>
      </c>
      <c r="Q919" s="2">
        <f t="shared" si="58"/>
        <v>0</v>
      </c>
      <c r="R919" s="5" t="str">
        <f t="shared" si="59"/>
        <v>Above Average</v>
      </c>
      <c r="S919" s="5" t="str">
        <f>Table1[[#This Row],[Quarter]]&amp;" - "&amp;Table1[[#This Row],[City]]</f>
        <v>Q4 - Kolkata</v>
      </c>
    </row>
    <row r="920" spans="1:19" x14ac:dyDescent="0.3">
      <c r="A920" t="s">
        <v>992</v>
      </c>
      <c r="B920" s="1">
        <v>45627</v>
      </c>
      <c r="C920" t="s">
        <v>989</v>
      </c>
      <c r="D920" t="s">
        <v>800</v>
      </c>
      <c r="E920" t="s">
        <v>25</v>
      </c>
      <c r="F920" t="s">
        <v>31</v>
      </c>
      <c r="G920" t="s">
        <v>38</v>
      </c>
      <c r="H920">
        <v>1</v>
      </c>
      <c r="I920">
        <v>5310</v>
      </c>
      <c r="J920">
        <v>30</v>
      </c>
      <c r="K920">
        <v>3717</v>
      </c>
      <c r="L920" t="s">
        <v>28</v>
      </c>
      <c r="M920" s="2">
        <f>Table1[[#This Row],[Revenue_INR]]-Table1[[#This Row],[Price_INR]]</f>
        <v>-1593</v>
      </c>
      <c r="N920">
        <f>YEAR(Table1[[#This Row],[Date]])</f>
        <v>2024</v>
      </c>
      <c r="O920" s="2">
        <f t="shared" si="56"/>
        <v>3717</v>
      </c>
      <c r="P920" s="7">
        <f t="shared" si="57"/>
        <v>-42.857142857142854</v>
      </c>
      <c r="Q920" s="2">
        <f t="shared" si="58"/>
        <v>1593</v>
      </c>
      <c r="R920" s="5" t="str">
        <f t="shared" si="59"/>
        <v>Below Average</v>
      </c>
      <c r="S920" s="5" t="str">
        <f>Table1[[#This Row],[Quarter]]&amp;" - "&amp;Table1[[#This Row],[City]]</f>
        <v>Q4 - Hyderabad</v>
      </c>
    </row>
    <row r="921" spans="1:19" x14ac:dyDescent="0.3">
      <c r="A921" t="s">
        <v>993</v>
      </c>
      <c r="B921" s="1">
        <v>45627</v>
      </c>
      <c r="C921" t="s">
        <v>989</v>
      </c>
      <c r="D921" t="s">
        <v>800</v>
      </c>
      <c r="E921" t="s">
        <v>20</v>
      </c>
      <c r="F921" t="s">
        <v>16</v>
      </c>
      <c r="G921" t="s">
        <v>41</v>
      </c>
      <c r="H921">
        <v>7</v>
      </c>
      <c r="I921">
        <v>2810</v>
      </c>
      <c r="J921">
        <v>20</v>
      </c>
      <c r="K921">
        <v>15736</v>
      </c>
      <c r="L921" t="s">
        <v>77</v>
      </c>
      <c r="M921" s="2">
        <f>Table1[[#This Row],[Revenue_INR]]-Table1[[#This Row],[Price_INR]]</f>
        <v>12926</v>
      </c>
      <c r="N921">
        <f>YEAR(Table1[[#This Row],[Date]])</f>
        <v>2024</v>
      </c>
      <c r="O921" s="2">
        <f t="shared" si="56"/>
        <v>2248</v>
      </c>
      <c r="P921" s="7">
        <f t="shared" si="57"/>
        <v>82.142857142857139</v>
      </c>
      <c r="Q921" s="2">
        <f t="shared" si="58"/>
        <v>3934</v>
      </c>
      <c r="R921" s="5" t="str">
        <f t="shared" si="59"/>
        <v>Below Average</v>
      </c>
      <c r="S921" s="5" t="str">
        <f>Table1[[#This Row],[Quarter]]&amp;" - "&amp;Table1[[#This Row],[City]]</f>
        <v>Q4 - Mumbai</v>
      </c>
    </row>
    <row r="922" spans="1:19" x14ac:dyDescent="0.3">
      <c r="A922" t="s">
        <v>994</v>
      </c>
      <c r="B922" s="1">
        <v>45628</v>
      </c>
      <c r="C922" t="s">
        <v>989</v>
      </c>
      <c r="D922" t="s">
        <v>800</v>
      </c>
      <c r="E922" t="s">
        <v>20</v>
      </c>
      <c r="F922" t="s">
        <v>16</v>
      </c>
      <c r="G922" t="s">
        <v>69</v>
      </c>
      <c r="H922">
        <v>15</v>
      </c>
      <c r="I922">
        <v>690</v>
      </c>
      <c r="J922">
        <v>15</v>
      </c>
      <c r="K922">
        <v>8797.5</v>
      </c>
      <c r="L922" t="s">
        <v>23</v>
      </c>
      <c r="M922" s="2">
        <f>Table1[[#This Row],[Revenue_INR]]-Table1[[#This Row],[Price_INR]]</f>
        <v>8107.5</v>
      </c>
      <c r="N922">
        <f>YEAR(Table1[[#This Row],[Date]])</f>
        <v>2024</v>
      </c>
      <c r="O922" s="2">
        <f t="shared" si="56"/>
        <v>586.5</v>
      </c>
      <c r="P922" s="7">
        <f t="shared" si="57"/>
        <v>92.156862745098039</v>
      </c>
      <c r="Q922" s="2">
        <f t="shared" si="58"/>
        <v>1552.5</v>
      </c>
      <c r="R922" s="5" t="str">
        <f t="shared" si="59"/>
        <v>Below Average</v>
      </c>
      <c r="S922" s="5" t="str">
        <f>Table1[[#This Row],[Quarter]]&amp;" - "&amp;Table1[[#This Row],[City]]</f>
        <v>Q4 - Mumbai</v>
      </c>
    </row>
    <row r="923" spans="1:19" x14ac:dyDescent="0.3">
      <c r="A923" t="s">
        <v>995</v>
      </c>
      <c r="B923" s="1">
        <v>45629</v>
      </c>
      <c r="C923" t="s">
        <v>989</v>
      </c>
      <c r="D923" t="s">
        <v>800</v>
      </c>
      <c r="E923" t="s">
        <v>34</v>
      </c>
      <c r="F923" t="s">
        <v>21</v>
      </c>
      <c r="G923" t="s">
        <v>22</v>
      </c>
      <c r="H923">
        <v>11</v>
      </c>
      <c r="I923">
        <v>2480</v>
      </c>
      <c r="J923">
        <v>30</v>
      </c>
      <c r="K923">
        <v>19096</v>
      </c>
      <c r="L923" t="s">
        <v>36</v>
      </c>
      <c r="M923" s="2">
        <f>Table1[[#This Row],[Revenue_INR]]-Table1[[#This Row],[Price_INR]]</f>
        <v>16616</v>
      </c>
      <c r="N923">
        <f>YEAR(Table1[[#This Row],[Date]])</f>
        <v>2024</v>
      </c>
      <c r="O923" s="2">
        <f t="shared" si="56"/>
        <v>1736</v>
      </c>
      <c r="P923" s="7">
        <f t="shared" si="57"/>
        <v>87.012987012987011</v>
      </c>
      <c r="Q923" s="2">
        <f t="shared" si="58"/>
        <v>8184</v>
      </c>
      <c r="R923" s="5" t="str">
        <f t="shared" si="59"/>
        <v>Below Average</v>
      </c>
      <c r="S923" s="5" t="str">
        <f>Table1[[#This Row],[Quarter]]&amp;" - "&amp;Table1[[#This Row],[City]]</f>
        <v>Q4 - Delhi</v>
      </c>
    </row>
    <row r="924" spans="1:19" x14ac:dyDescent="0.3">
      <c r="A924" t="s">
        <v>996</v>
      </c>
      <c r="B924" s="1">
        <v>45629</v>
      </c>
      <c r="C924" t="s">
        <v>989</v>
      </c>
      <c r="D924" t="s">
        <v>800</v>
      </c>
      <c r="E924" t="s">
        <v>20</v>
      </c>
      <c r="F924" t="s">
        <v>47</v>
      </c>
      <c r="G924" t="s">
        <v>51</v>
      </c>
      <c r="H924">
        <v>1</v>
      </c>
      <c r="I924">
        <v>8620</v>
      </c>
      <c r="J924">
        <v>25</v>
      </c>
      <c r="K924">
        <v>6465</v>
      </c>
      <c r="L924" t="s">
        <v>77</v>
      </c>
      <c r="M924" s="2">
        <f>Table1[[#This Row],[Revenue_INR]]-Table1[[#This Row],[Price_INR]]</f>
        <v>-2155</v>
      </c>
      <c r="N924">
        <f>YEAR(Table1[[#This Row],[Date]])</f>
        <v>2024</v>
      </c>
      <c r="O924" s="2">
        <f t="shared" si="56"/>
        <v>6465</v>
      </c>
      <c r="P924" s="7">
        <f t="shared" si="57"/>
        <v>-33.333333333333329</v>
      </c>
      <c r="Q924" s="2">
        <f t="shared" si="58"/>
        <v>2155</v>
      </c>
      <c r="R924" s="5" t="str">
        <f t="shared" si="59"/>
        <v>Below Average</v>
      </c>
      <c r="S924" s="5" t="str">
        <f>Table1[[#This Row],[Quarter]]&amp;" - "&amp;Table1[[#This Row],[City]]</f>
        <v>Q4 - Mumbai</v>
      </c>
    </row>
    <row r="925" spans="1:19" x14ac:dyDescent="0.3">
      <c r="A925" t="s">
        <v>997</v>
      </c>
      <c r="B925" s="1">
        <v>45629</v>
      </c>
      <c r="C925" t="s">
        <v>989</v>
      </c>
      <c r="D925" t="s">
        <v>800</v>
      </c>
      <c r="E925" t="s">
        <v>20</v>
      </c>
      <c r="F925" t="s">
        <v>21</v>
      </c>
      <c r="G925" t="s">
        <v>94</v>
      </c>
      <c r="H925">
        <v>6</v>
      </c>
      <c r="I925">
        <v>2110</v>
      </c>
      <c r="J925">
        <v>20</v>
      </c>
      <c r="K925">
        <v>10128</v>
      </c>
      <c r="L925" t="s">
        <v>23</v>
      </c>
      <c r="M925" s="2">
        <f>Table1[[#This Row],[Revenue_INR]]-Table1[[#This Row],[Price_INR]]</f>
        <v>8018</v>
      </c>
      <c r="N925">
        <f>YEAR(Table1[[#This Row],[Date]])</f>
        <v>2024</v>
      </c>
      <c r="O925" s="2">
        <f t="shared" si="56"/>
        <v>1688</v>
      </c>
      <c r="P925" s="7">
        <f t="shared" si="57"/>
        <v>79.166666666666657</v>
      </c>
      <c r="Q925" s="2">
        <f t="shared" si="58"/>
        <v>2532</v>
      </c>
      <c r="R925" s="5" t="str">
        <f t="shared" si="59"/>
        <v>Below Average</v>
      </c>
      <c r="S925" s="5" t="str">
        <f>Table1[[#This Row],[Quarter]]&amp;" - "&amp;Table1[[#This Row],[City]]</f>
        <v>Q4 - Mumbai</v>
      </c>
    </row>
    <row r="926" spans="1:19" x14ac:dyDescent="0.3">
      <c r="A926" t="s">
        <v>998</v>
      </c>
      <c r="B926" s="1">
        <v>45629</v>
      </c>
      <c r="C926" t="s">
        <v>989</v>
      </c>
      <c r="D926" t="s">
        <v>800</v>
      </c>
      <c r="E926" t="s">
        <v>34</v>
      </c>
      <c r="F926" t="s">
        <v>16</v>
      </c>
      <c r="G926" t="s">
        <v>41</v>
      </c>
      <c r="H926">
        <v>14</v>
      </c>
      <c r="I926">
        <v>2290</v>
      </c>
      <c r="J926">
        <v>30</v>
      </c>
      <c r="K926">
        <v>22442</v>
      </c>
      <c r="L926" t="s">
        <v>45</v>
      </c>
      <c r="M926" s="2">
        <f>Table1[[#This Row],[Revenue_INR]]-Table1[[#This Row],[Price_INR]]</f>
        <v>20152</v>
      </c>
      <c r="N926">
        <f>YEAR(Table1[[#This Row],[Date]])</f>
        <v>2024</v>
      </c>
      <c r="O926" s="2">
        <f t="shared" si="56"/>
        <v>1603</v>
      </c>
      <c r="P926" s="7">
        <f t="shared" si="57"/>
        <v>89.795918367346943</v>
      </c>
      <c r="Q926" s="2">
        <f t="shared" si="58"/>
        <v>9618</v>
      </c>
      <c r="R926" s="5" t="str">
        <f t="shared" si="59"/>
        <v>Below Average</v>
      </c>
      <c r="S926" s="5" t="str">
        <f>Table1[[#This Row],[Quarter]]&amp;" - "&amp;Table1[[#This Row],[City]]</f>
        <v>Q4 - Delhi</v>
      </c>
    </row>
    <row r="927" spans="1:19" x14ac:dyDescent="0.3">
      <c r="A927" t="s">
        <v>999</v>
      </c>
      <c r="B927" s="1">
        <v>45629</v>
      </c>
      <c r="C927" t="s">
        <v>989</v>
      </c>
      <c r="D927" t="s">
        <v>800</v>
      </c>
      <c r="E927" t="s">
        <v>15</v>
      </c>
      <c r="F927" t="s">
        <v>16</v>
      </c>
      <c r="G927" t="s">
        <v>17</v>
      </c>
      <c r="H927">
        <v>2</v>
      </c>
      <c r="I927">
        <v>2230</v>
      </c>
      <c r="J927">
        <v>0</v>
      </c>
      <c r="K927">
        <v>4460</v>
      </c>
      <c r="L927" t="s">
        <v>92</v>
      </c>
      <c r="M927" s="2">
        <f>Table1[[#This Row],[Revenue_INR]]-Table1[[#This Row],[Price_INR]]</f>
        <v>2230</v>
      </c>
      <c r="N927">
        <f>YEAR(Table1[[#This Row],[Date]])</f>
        <v>2024</v>
      </c>
      <c r="O927" s="2">
        <f t="shared" si="56"/>
        <v>2230</v>
      </c>
      <c r="P927" s="7">
        <f t="shared" si="57"/>
        <v>50</v>
      </c>
      <c r="Q927" s="2">
        <f t="shared" si="58"/>
        <v>0</v>
      </c>
      <c r="R927" s="5" t="str">
        <f t="shared" si="59"/>
        <v>Below Average</v>
      </c>
      <c r="S927" s="5" t="str">
        <f>Table1[[#This Row],[Quarter]]&amp;" - "&amp;Table1[[#This Row],[City]]</f>
        <v>Q4 - Kolkata</v>
      </c>
    </row>
    <row r="928" spans="1:19" x14ac:dyDescent="0.3">
      <c r="A928" t="s">
        <v>1000</v>
      </c>
      <c r="B928" s="1">
        <v>45630</v>
      </c>
      <c r="C928" t="s">
        <v>989</v>
      </c>
      <c r="D928" t="s">
        <v>800</v>
      </c>
      <c r="E928" t="s">
        <v>34</v>
      </c>
      <c r="F928" t="s">
        <v>26</v>
      </c>
      <c r="G928" t="s">
        <v>58</v>
      </c>
      <c r="H928">
        <v>11</v>
      </c>
      <c r="I928">
        <v>6470</v>
      </c>
      <c r="J928">
        <v>20</v>
      </c>
      <c r="K928">
        <v>56936</v>
      </c>
      <c r="L928" t="s">
        <v>49</v>
      </c>
      <c r="M928" s="2">
        <f>Table1[[#This Row],[Revenue_INR]]-Table1[[#This Row],[Price_INR]]</f>
        <v>50466</v>
      </c>
      <c r="N928">
        <f>YEAR(Table1[[#This Row],[Date]])</f>
        <v>2024</v>
      </c>
      <c r="O928" s="2">
        <f t="shared" si="56"/>
        <v>5176</v>
      </c>
      <c r="P928" s="7">
        <f t="shared" si="57"/>
        <v>88.63636363636364</v>
      </c>
      <c r="Q928" s="2">
        <f t="shared" si="58"/>
        <v>14234</v>
      </c>
      <c r="R928" s="5" t="str">
        <f t="shared" si="59"/>
        <v>Above Average</v>
      </c>
      <c r="S928" s="5" t="str">
        <f>Table1[[#This Row],[Quarter]]&amp;" - "&amp;Table1[[#This Row],[City]]</f>
        <v>Q4 - Delhi</v>
      </c>
    </row>
    <row r="929" spans="1:19" x14ac:dyDescent="0.3">
      <c r="A929" t="s">
        <v>1001</v>
      </c>
      <c r="B929" s="1">
        <v>45630</v>
      </c>
      <c r="C929" t="s">
        <v>989</v>
      </c>
      <c r="D929" t="s">
        <v>800</v>
      </c>
      <c r="E929" t="s">
        <v>25</v>
      </c>
      <c r="F929" t="s">
        <v>60</v>
      </c>
      <c r="G929" t="s">
        <v>99</v>
      </c>
      <c r="H929">
        <v>2</v>
      </c>
      <c r="I929">
        <v>610</v>
      </c>
      <c r="J929">
        <v>10</v>
      </c>
      <c r="K929">
        <v>1098</v>
      </c>
      <c r="L929" t="s">
        <v>66</v>
      </c>
      <c r="M929" s="2">
        <f>Table1[[#This Row],[Revenue_INR]]-Table1[[#This Row],[Price_INR]]</f>
        <v>488</v>
      </c>
      <c r="N929">
        <f>YEAR(Table1[[#This Row],[Date]])</f>
        <v>2024</v>
      </c>
      <c r="O929" s="2">
        <f t="shared" si="56"/>
        <v>549</v>
      </c>
      <c r="P929" s="7">
        <f t="shared" si="57"/>
        <v>44.444444444444443</v>
      </c>
      <c r="Q929" s="2">
        <f t="shared" si="58"/>
        <v>122</v>
      </c>
      <c r="R929" s="5" t="str">
        <f t="shared" si="59"/>
        <v>Below Average</v>
      </c>
      <c r="S929" s="5" t="str">
        <f>Table1[[#This Row],[Quarter]]&amp;" - "&amp;Table1[[#This Row],[City]]</f>
        <v>Q4 - Hyderabad</v>
      </c>
    </row>
    <row r="930" spans="1:19" x14ac:dyDescent="0.3">
      <c r="A930" t="s">
        <v>1002</v>
      </c>
      <c r="B930" s="1">
        <v>45630</v>
      </c>
      <c r="C930" t="s">
        <v>989</v>
      </c>
      <c r="D930" t="s">
        <v>800</v>
      </c>
      <c r="E930" t="s">
        <v>15</v>
      </c>
      <c r="F930" t="s">
        <v>60</v>
      </c>
      <c r="G930" t="s">
        <v>99</v>
      </c>
      <c r="H930">
        <v>8</v>
      </c>
      <c r="I930">
        <v>2090</v>
      </c>
      <c r="J930">
        <v>15</v>
      </c>
      <c r="K930">
        <v>14212</v>
      </c>
      <c r="L930" t="s">
        <v>53</v>
      </c>
      <c r="M930" s="2">
        <f>Table1[[#This Row],[Revenue_INR]]-Table1[[#This Row],[Price_INR]]</f>
        <v>12122</v>
      </c>
      <c r="N930">
        <f>YEAR(Table1[[#This Row],[Date]])</f>
        <v>2024</v>
      </c>
      <c r="O930" s="2">
        <f t="shared" si="56"/>
        <v>1776.5</v>
      </c>
      <c r="P930" s="7">
        <f t="shared" si="57"/>
        <v>85.294117647058826</v>
      </c>
      <c r="Q930" s="2">
        <f t="shared" si="58"/>
        <v>2508</v>
      </c>
      <c r="R930" s="5" t="str">
        <f t="shared" si="59"/>
        <v>Below Average</v>
      </c>
      <c r="S930" s="5" t="str">
        <f>Table1[[#This Row],[Quarter]]&amp;" - "&amp;Table1[[#This Row],[City]]</f>
        <v>Q4 - Kolkata</v>
      </c>
    </row>
    <row r="931" spans="1:19" x14ac:dyDescent="0.3">
      <c r="A931" t="s">
        <v>1003</v>
      </c>
      <c r="B931" s="1">
        <v>45631</v>
      </c>
      <c r="C931" t="s">
        <v>989</v>
      </c>
      <c r="D931" t="s">
        <v>800</v>
      </c>
      <c r="E931" t="s">
        <v>15</v>
      </c>
      <c r="F931" t="s">
        <v>16</v>
      </c>
      <c r="G931" t="s">
        <v>44</v>
      </c>
      <c r="H931">
        <v>5</v>
      </c>
      <c r="I931">
        <v>2080</v>
      </c>
      <c r="J931">
        <v>20</v>
      </c>
      <c r="K931">
        <v>8320</v>
      </c>
      <c r="L931" t="s">
        <v>18</v>
      </c>
      <c r="M931" s="2">
        <f>Table1[[#This Row],[Revenue_INR]]-Table1[[#This Row],[Price_INR]]</f>
        <v>6240</v>
      </c>
      <c r="N931">
        <f>YEAR(Table1[[#This Row],[Date]])</f>
        <v>2024</v>
      </c>
      <c r="O931" s="2">
        <f t="shared" si="56"/>
        <v>1664</v>
      </c>
      <c r="P931" s="7">
        <f t="shared" si="57"/>
        <v>75</v>
      </c>
      <c r="Q931" s="2">
        <f t="shared" si="58"/>
        <v>2080</v>
      </c>
      <c r="R931" s="5" t="str">
        <f t="shared" si="59"/>
        <v>Below Average</v>
      </c>
      <c r="S931" s="5" t="str">
        <f>Table1[[#This Row],[Quarter]]&amp;" - "&amp;Table1[[#This Row],[City]]</f>
        <v>Q4 - Kolkata</v>
      </c>
    </row>
    <row r="932" spans="1:19" x14ac:dyDescent="0.3">
      <c r="A932" t="s">
        <v>1004</v>
      </c>
      <c r="B932" s="1">
        <v>45631</v>
      </c>
      <c r="C932" t="s">
        <v>989</v>
      </c>
      <c r="D932" t="s">
        <v>800</v>
      </c>
      <c r="E932" t="s">
        <v>15</v>
      </c>
      <c r="F932" t="s">
        <v>47</v>
      </c>
      <c r="G932" t="s">
        <v>48</v>
      </c>
      <c r="H932">
        <v>4</v>
      </c>
      <c r="I932">
        <v>5810</v>
      </c>
      <c r="J932">
        <v>5</v>
      </c>
      <c r="K932">
        <v>22078</v>
      </c>
      <c r="L932" t="s">
        <v>18</v>
      </c>
      <c r="M932" s="2">
        <f>Table1[[#This Row],[Revenue_INR]]-Table1[[#This Row],[Price_INR]]</f>
        <v>16268</v>
      </c>
      <c r="N932">
        <f>YEAR(Table1[[#This Row],[Date]])</f>
        <v>2024</v>
      </c>
      <c r="O932" s="2">
        <f t="shared" si="56"/>
        <v>5519.5</v>
      </c>
      <c r="P932" s="7">
        <f t="shared" si="57"/>
        <v>73.68421052631578</v>
      </c>
      <c r="Q932" s="2">
        <f t="shared" si="58"/>
        <v>1162</v>
      </c>
      <c r="R932" s="5" t="str">
        <f t="shared" si="59"/>
        <v>Below Average</v>
      </c>
      <c r="S932" s="5" t="str">
        <f>Table1[[#This Row],[Quarter]]&amp;" - "&amp;Table1[[#This Row],[City]]</f>
        <v>Q4 - Kolkata</v>
      </c>
    </row>
    <row r="933" spans="1:19" x14ac:dyDescent="0.3">
      <c r="A933" t="s">
        <v>1005</v>
      </c>
      <c r="B933" s="1">
        <v>45632</v>
      </c>
      <c r="C933" t="s">
        <v>989</v>
      </c>
      <c r="D933" t="s">
        <v>800</v>
      </c>
      <c r="E933" t="s">
        <v>15</v>
      </c>
      <c r="F933" t="s">
        <v>60</v>
      </c>
      <c r="G933" t="s">
        <v>99</v>
      </c>
      <c r="H933">
        <v>7</v>
      </c>
      <c r="I933">
        <v>1060</v>
      </c>
      <c r="J933">
        <v>5</v>
      </c>
      <c r="K933">
        <v>7049</v>
      </c>
      <c r="L933" t="s">
        <v>18</v>
      </c>
      <c r="M933" s="2">
        <f>Table1[[#This Row],[Revenue_INR]]-Table1[[#This Row],[Price_INR]]</f>
        <v>5989</v>
      </c>
      <c r="N933">
        <f>YEAR(Table1[[#This Row],[Date]])</f>
        <v>2024</v>
      </c>
      <c r="O933" s="2">
        <f t="shared" si="56"/>
        <v>1007</v>
      </c>
      <c r="P933" s="7">
        <f t="shared" si="57"/>
        <v>84.962406015037601</v>
      </c>
      <c r="Q933" s="2">
        <f t="shared" si="58"/>
        <v>371</v>
      </c>
      <c r="R933" s="5" t="str">
        <f t="shared" si="59"/>
        <v>Below Average</v>
      </c>
      <c r="S933" s="5" t="str">
        <f>Table1[[#This Row],[Quarter]]&amp;" - "&amp;Table1[[#This Row],[City]]</f>
        <v>Q4 - Kolkata</v>
      </c>
    </row>
    <row r="934" spans="1:19" x14ac:dyDescent="0.3">
      <c r="A934" t="s">
        <v>1006</v>
      </c>
      <c r="B934" s="1">
        <v>45632</v>
      </c>
      <c r="C934" t="s">
        <v>989</v>
      </c>
      <c r="D934" t="s">
        <v>800</v>
      </c>
      <c r="E934" t="s">
        <v>20</v>
      </c>
      <c r="F934" t="s">
        <v>26</v>
      </c>
      <c r="G934" t="s">
        <v>27</v>
      </c>
      <c r="H934">
        <v>7</v>
      </c>
      <c r="I934">
        <v>9200</v>
      </c>
      <c r="J934">
        <v>10</v>
      </c>
      <c r="K934">
        <v>57960</v>
      </c>
      <c r="L934" t="s">
        <v>23</v>
      </c>
      <c r="M934" s="2">
        <f>Table1[[#This Row],[Revenue_INR]]-Table1[[#This Row],[Price_INR]]</f>
        <v>48760</v>
      </c>
      <c r="N934">
        <f>YEAR(Table1[[#This Row],[Date]])</f>
        <v>2024</v>
      </c>
      <c r="O934" s="2">
        <f t="shared" si="56"/>
        <v>8280</v>
      </c>
      <c r="P934" s="7">
        <f t="shared" si="57"/>
        <v>84.126984126984127</v>
      </c>
      <c r="Q934" s="2">
        <f t="shared" si="58"/>
        <v>6440</v>
      </c>
      <c r="R934" s="5" t="str">
        <f t="shared" si="59"/>
        <v>Above Average</v>
      </c>
      <c r="S934" s="5" t="str">
        <f>Table1[[#This Row],[Quarter]]&amp;" - "&amp;Table1[[#This Row],[City]]</f>
        <v>Q4 - Mumbai</v>
      </c>
    </row>
    <row r="935" spans="1:19" x14ac:dyDescent="0.3">
      <c r="A935" t="s">
        <v>1007</v>
      </c>
      <c r="B935" s="1">
        <v>45632</v>
      </c>
      <c r="C935" t="s">
        <v>989</v>
      </c>
      <c r="D935" t="s">
        <v>800</v>
      </c>
      <c r="E935" t="s">
        <v>20</v>
      </c>
      <c r="F935" t="s">
        <v>47</v>
      </c>
      <c r="G935" t="s">
        <v>51</v>
      </c>
      <c r="H935">
        <v>1</v>
      </c>
      <c r="I935">
        <v>6570</v>
      </c>
      <c r="J935">
        <v>0</v>
      </c>
      <c r="K935">
        <v>6570</v>
      </c>
      <c r="L935" t="s">
        <v>23</v>
      </c>
      <c r="M935" s="2">
        <f>Table1[[#This Row],[Revenue_INR]]-Table1[[#This Row],[Price_INR]]</f>
        <v>0</v>
      </c>
      <c r="N935">
        <f>YEAR(Table1[[#This Row],[Date]])</f>
        <v>2024</v>
      </c>
      <c r="O935" s="2">
        <f t="shared" si="56"/>
        <v>6570</v>
      </c>
      <c r="P935" s="7">
        <f t="shared" si="57"/>
        <v>0</v>
      </c>
      <c r="Q935" s="2">
        <f t="shared" si="58"/>
        <v>0</v>
      </c>
      <c r="R935" s="5" t="str">
        <f t="shared" si="59"/>
        <v>Below Average</v>
      </c>
      <c r="S935" s="5" t="str">
        <f>Table1[[#This Row],[Quarter]]&amp;" - "&amp;Table1[[#This Row],[City]]</f>
        <v>Q4 - Mumbai</v>
      </c>
    </row>
    <row r="936" spans="1:19" x14ac:dyDescent="0.3">
      <c r="A936" t="s">
        <v>1008</v>
      </c>
      <c r="B936" s="1">
        <v>45632</v>
      </c>
      <c r="C936" t="s">
        <v>989</v>
      </c>
      <c r="D936" t="s">
        <v>800</v>
      </c>
      <c r="E936" t="s">
        <v>20</v>
      </c>
      <c r="F936" t="s">
        <v>31</v>
      </c>
      <c r="G936" t="s">
        <v>131</v>
      </c>
      <c r="H936">
        <v>4</v>
      </c>
      <c r="I936">
        <v>1550</v>
      </c>
      <c r="J936">
        <v>25</v>
      </c>
      <c r="K936">
        <v>4650</v>
      </c>
      <c r="L936" t="s">
        <v>23</v>
      </c>
      <c r="M936" s="2">
        <f>Table1[[#This Row],[Revenue_INR]]-Table1[[#This Row],[Price_INR]]</f>
        <v>3100</v>
      </c>
      <c r="N936">
        <f>YEAR(Table1[[#This Row],[Date]])</f>
        <v>2024</v>
      </c>
      <c r="O936" s="2">
        <f t="shared" si="56"/>
        <v>1162.5</v>
      </c>
      <c r="P936" s="7">
        <f t="shared" si="57"/>
        <v>66.666666666666657</v>
      </c>
      <c r="Q936" s="2">
        <f t="shared" si="58"/>
        <v>1550</v>
      </c>
      <c r="R936" s="5" t="str">
        <f t="shared" si="59"/>
        <v>Below Average</v>
      </c>
      <c r="S936" s="5" t="str">
        <f>Table1[[#This Row],[Quarter]]&amp;" - "&amp;Table1[[#This Row],[City]]</f>
        <v>Q4 - Mumbai</v>
      </c>
    </row>
    <row r="937" spans="1:19" x14ac:dyDescent="0.3">
      <c r="A937" t="s">
        <v>1009</v>
      </c>
      <c r="B937" s="1">
        <v>45633</v>
      </c>
      <c r="C937" t="s">
        <v>989</v>
      </c>
      <c r="D937" t="s">
        <v>800</v>
      </c>
      <c r="E937" t="s">
        <v>20</v>
      </c>
      <c r="F937" t="s">
        <v>21</v>
      </c>
      <c r="G937" t="s">
        <v>71</v>
      </c>
      <c r="H937">
        <v>10</v>
      </c>
      <c r="I937">
        <v>1810</v>
      </c>
      <c r="J937">
        <v>25</v>
      </c>
      <c r="K937">
        <v>13575</v>
      </c>
      <c r="L937" t="s">
        <v>77</v>
      </c>
      <c r="M937" s="2">
        <f>Table1[[#This Row],[Revenue_INR]]-Table1[[#This Row],[Price_INR]]</f>
        <v>11765</v>
      </c>
      <c r="N937">
        <f>YEAR(Table1[[#This Row],[Date]])</f>
        <v>2024</v>
      </c>
      <c r="O937" s="2">
        <f t="shared" si="56"/>
        <v>1357.5</v>
      </c>
      <c r="P937" s="7">
        <f t="shared" si="57"/>
        <v>86.666666666666671</v>
      </c>
      <c r="Q937" s="2">
        <f t="shared" si="58"/>
        <v>4525</v>
      </c>
      <c r="R937" s="5" t="str">
        <f t="shared" si="59"/>
        <v>Below Average</v>
      </c>
      <c r="S937" s="5" t="str">
        <f>Table1[[#This Row],[Quarter]]&amp;" - "&amp;Table1[[#This Row],[City]]</f>
        <v>Q4 - Mumbai</v>
      </c>
    </row>
    <row r="938" spans="1:19" x14ac:dyDescent="0.3">
      <c r="A938" t="s">
        <v>1010</v>
      </c>
      <c r="B938" s="1">
        <v>45634</v>
      </c>
      <c r="C938" t="s">
        <v>989</v>
      </c>
      <c r="D938" t="s">
        <v>800</v>
      </c>
      <c r="E938" t="s">
        <v>20</v>
      </c>
      <c r="F938" t="s">
        <v>26</v>
      </c>
      <c r="G938" t="s">
        <v>80</v>
      </c>
      <c r="H938">
        <v>2</v>
      </c>
      <c r="I938">
        <v>11150</v>
      </c>
      <c r="J938">
        <v>30</v>
      </c>
      <c r="K938">
        <v>15610</v>
      </c>
      <c r="L938" t="s">
        <v>39</v>
      </c>
      <c r="M938" s="2">
        <f>Table1[[#This Row],[Revenue_INR]]-Table1[[#This Row],[Price_INR]]</f>
        <v>4460</v>
      </c>
      <c r="N938">
        <f>YEAR(Table1[[#This Row],[Date]])</f>
        <v>2024</v>
      </c>
      <c r="O938" s="2">
        <f t="shared" si="56"/>
        <v>7805</v>
      </c>
      <c r="P938" s="7">
        <f t="shared" si="57"/>
        <v>28.571428571428569</v>
      </c>
      <c r="Q938" s="2">
        <f t="shared" si="58"/>
        <v>6690</v>
      </c>
      <c r="R938" s="5" t="str">
        <f t="shared" si="59"/>
        <v>Below Average</v>
      </c>
      <c r="S938" s="5" t="str">
        <f>Table1[[#This Row],[Quarter]]&amp;" - "&amp;Table1[[#This Row],[City]]</f>
        <v>Q4 - Mumbai</v>
      </c>
    </row>
    <row r="939" spans="1:19" x14ac:dyDescent="0.3">
      <c r="A939" t="s">
        <v>1011</v>
      </c>
      <c r="B939" s="1">
        <v>45634</v>
      </c>
      <c r="C939" t="s">
        <v>989</v>
      </c>
      <c r="D939" t="s">
        <v>800</v>
      </c>
      <c r="E939" t="s">
        <v>20</v>
      </c>
      <c r="F939" t="s">
        <v>60</v>
      </c>
      <c r="G939" t="s">
        <v>99</v>
      </c>
      <c r="H939">
        <v>4</v>
      </c>
      <c r="I939">
        <v>730</v>
      </c>
      <c r="J939">
        <v>10</v>
      </c>
      <c r="K939">
        <v>2628</v>
      </c>
      <c r="L939" t="s">
        <v>23</v>
      </c>
      <c r="M939" s="2">
        <f>Table1[[#This Row],[Revenue_INR]]-Table1[[#This Row],[Price_INR]]</f>
        <v>1898</v>
      </c>
      <c r="N939">
        <f>YEAR(Table1[[#This Row],[Date]])</f>
        <v>2024</v>
      </c>
      <c r="O939" s="2">
        <f t="shared" si="56"/>
        <v>657</v>
      </c>
      <c r="P939" s="7">
        <f t="shared" si="57"/>
        <v>72.222222222222214</v>
      </c>
      <c r="Q939" s="2">
        <f t="shared" si="58"/>
        <v>292</v>
      </c>
      <c r="R939" s="5" t="str">
        <f t="shared" si="59"/>
        <v>Below Average</v>
      </c>
      <c r="S939" s="5" t="str">
        <f>Table1[[#This Row],[Quarter]]&amp;" - "&amp;Table1[[#This Row],[City]]</f>
        <v>Q4 - Mumbai</v>
      </c>
    </row>
    <row r="940" spans="1:19" x14ac:dyDescent="0.3">
      <c r="A940" t="s">
        <v>1012</v>
      </c>
      <c r="B940" s="1">
        <v>45634</v>
      </c>
      <c r="C940" t="s">
        <v>989</v>
      </c>
      <c r="D940" t="s">
        <v>800</v>
      </c>
      <c r="E940" t="s">
        <v>25</v>
      </c>
      <c r="F940" t="s">
        <v>16</v>
      </c>
      <c r="G940" t="s">
        <v>17</v>
      </c>
      <c r="H940">
        <v>7</v>
      </c>
      <c r="I940">
        <v>2410</v>
      </c>
      <c r="J940">
        <v>30</v>
      </c>
      <c r="K940">
        <v>11809</v>
      </c>
      <c r="L940" t="s">
        <v>66</v>
      </c>
      <c r="M940" s="2">
        <f>Table1[[#This Row],[Revenue_INR]]-Table1[[#This Row],[Price_INR]]</f>
        <v>9399</v>
      </c>
      <c r="N940">
        <f>YEAR(Table1[[#This Row],[Date]])</f>
        <v>2024</v>
      </c>
      <c r="O940" s="2">
        <f t="shared" si="56"/>
        <v>1687</v>
      </c>
      <c r="P940" s="7">
        <f t="shared" si="57"/>
        <v>79.591836734693871</v>
      </c>
      <c r="Q940" s="2">
        <f t="shared" si="58"/>
        <v>5061</v>
      </c>
      <c r="R940" s="5" t="str">
        <f t="shared" si="59"/>
        <v>Below Average</v>
      </c>
      <c r="S940" s="5" t="str">
        <f>Table1[[#This Row],[Quarter]]&amp;" - "&amp;Table1[[#This Row],[City]]</f>
        <v>Q4 - Hyderabad</v>
      </c>
    </row>
    <row r="941" spans="1:19" x14ac:dyDescent="0.3">
      <c r="A941" t="s">
        <v>1013</v>
      </c>
      <c r="B941" s="1">
        <v>45635</v>
      </c>
      <c r="C941" t="s">
        <v>989</v>
      </c>
      <c r="D941" t="s">
        <v>800</v>
      </c>
      <c r="E941" t="s">
        <v>34</v>
      </c>
      <c r="F941" t="s">
        <v>21</v>
      </c>
      <c r="G941" t="s">
        <v>94</v>
      </c>
      <c r="H941">
        <v>7</v>
      </c>
      <c r="I941">
        <v>1440</v>
      </c>
      <c r="J941">
        <v>5</v>
      </c>
      <c r="K941">
        <v>9576</v>
      </c>
      <c r="L941" t="s">
        <v>36</v>
      </c>
      <c r="M941" s="2">
        <f>Table1[[#This Row],[Revenue_INR]]-Table1[[#This Row],[Price_INR]]</f>
        <v>8136</v>
      </c>
      <c r="N941">
        <f>YEAR(Table1[[#This Row],[Date]])</f>
        <v>2024</v>
      </c>
      <c r="O941" s="2">
        <f t="shared" si="56"/>
        <v>1368</v>
      </c>
      <c r="P941" s="7">
        <f t="shared" si="57"/>
        <v>84.962406015037601</v>
      </c>
      <c r="Q941" s="2">
        <f t="shared" si="58"/>
        <v>504</v>
      </c>
      <c r="R941" s="5" t="str">
        <f t="shared" si="59"/>
        <v>Below Average</v>
      </c>
      <c r="S941" s="5" t="str">
        <f>Table1[[#This Row],[Quarter]]&amp;" - "&amp;Table1[[#This Row],[City]]</f>
        <v>Q4 - Delhi</v>
      </c>
    </row>
    <row r="942" spans="1:19" x14ac:dyDescent="0.3">
      <c r="A942" t="s">
        <v>1014</v>
      </c>
      <c r="B942" s="1">
        <v>45635</v>
      </c>
      <c r="C942" t="s">
        <v>989</v>
      </c>
      <c r="D942" t="s">
        <v>800</v>
      </c>
      <c r="E942" t="s">
        <v>15</v>
      </c>
      <c r="F942" t="s">
        <v>26</v>
      </c>
      <c r="G942" t="s">
        <v>27</v>
      </c>
      <c r="H942">
        <v>14</v>
      </c>
      <c r="I942">
        <v>5090</v>
      </c>
      <c r="J942">
        <v>5</v>
      </c>
      <c r="K942">
        <v>67697</v>
      </c>
      <c r="L942" t="s">
        <v>18</v>
      </c>
      <c r="M942" s="2">
        <f>Table1[[#This Row],[Revenue_INR]]-Table1[[#This Row],[Price_INR]]</f>
        <v>62607</v>
      </c>
      <c r="N942">
        <f>YEAR(Table1[[#This Row],[Date]])</f>
        <v>2024</v>
      </c>
      <c r="O942" s="2">
        <f t="shared" si="56"/>
        <v>4835.5</v>
      </c>
      <c r="P942" s="7">
        <f t="shared" si="57"/>
        <v>92.481203007518801</v>
      </c>
      <c r="Q942" s="2">
        <f t="shared" si="58"/>
        <v>3563</v>
      </c>
      <c r="R942" s="5" t="str">
        <f t="shared" si="59"/>
        <v>Above Average</v>
      </c>
      <c r="S942" s="5" t="str">
        <f>Table1[[#This Row],[Quarter]]&amp;" - "&amp;Table1[[#This Row],[City]]</f>
        <v>Q4 - Kolkata</v>
      </c>
    </row>
    <row r="943" spans="1:19" x14ac:dyDescent="0.3">
      <c r="A943" t="s">
        <v>1015</v>
      </c>
      <c r="B943" s="1">
        <v>45636</v>
      </c>
      <c r="C943" t="s">
        <v>989</v>
      </c>
      <c r="D943" t="s">
        <v>800</v>
      </c>
      <c r="E943" t="s">
        <v>20</v>
      </c>
      <c r="F943" t="s">
        <v>47</v>
      </c>
      <c r="G943" t="s">
        <v>48</v>
      </c>
      <c r="H943">
        <v>6</v>
      </c>
      <c r="I943">
        <v>5160</v>
      </c>
      <c r="J943">
        <v>30</v>
      </c>
      <c r="K943">
        <v>21672</v>
      </c>
      <c r="L943" t="s">
        <v>77</v>
      </c>
      <c r="M943" s="2">
        <f>Table1[[#This Row],[Revenue_INR]]-Table1[[#This Row],[Price_INR]]</f>
        <v>16512</v>
      </c>
      <c r="N943">
        <f>YEAR(Table1[[#This Row],[Date]])</f>
        <v>2024</v>
      </c>
      <c r="O943" s="2">
        <f t="shared" si="56"/>
        <v>3612</v>
      </c>
      <c r="P943" s="7">
        <f t="shared" si="57"/>
        <v>76.19047619047619</v>
      </c>
      <c r="Q943" s="2">
        <f t="shared" si="58"/>
        <v>9288</v>
      </c>
      <c r="R943" s="5" t="str">
        <f t="shared" si="59"/>
        <v>Below Average</v>
      </c>
      <c r="S943" s="5" t="str">
        <f>Table1[[#This Row],[Quarter]]&amp;" - "&amp;Table1[[#This Row],[City]]</f>
        <v>Q4 - Mumbai</v>
      </c>
    </row>
    <row r="944" spans="1:19" x14ac:dyDescent="0.3">
      <c r="A944" t="s">
        <v>1016</v>
      </c>
      <c r="B944" s="1">
        <v>45637</v>
      </c>
      <c r="C944" t="s">
        <v>989</v>
      </c>
      <c r="D944" t="s">
        <v>800</v>
      </c>
      <c r="E944" t="s">
        <v>34</v>
      </c>
      <c r="F944" t="s">
        <v>21</v>
      </c>
      <c r="G944" t="s">
        <v>94</v>
      </c>
      <c r="H944">
        <v>15</v>
      </c>
      <c r="I944">
        <v>2890</v>
      </c>
      <c r="J944">
        <v>20</v>
      </c>
      <c r="K944">
        <v>34680</v>
      </c>
      <c r="L944" t="s">
        <v>36</v>
      </c>
      <c r="M944" s="2">
        <f>Table1[[#This Row],[Revenue_INR]]-Table1[[#This Row],[Price_INR]]</f>
        <v>31790</v>
      </c>
      <c r="N944">
        <f>YEAR(Table1[[#This Row],[Date]])</f>
        <v>2024</v>
      </c>
      <c r="O944" s="2">
        <f t="shared" si="56"/>
        <v>2312</v>
      </c>
      <c r="P944" s="7">
        <f t="shared" si="57"/>
        <v>91.666666666666657</v>
      </c>
      <c r="Q944" s="2">
        <f t="shared" si="58"/>
        <v>8670</v>
      </c>
      <c r="R944" s="5" t="str">
        <f t="shared" si="59"/>
        <v>Above Average</v>
      </c>
      <c r="S944" s="5" t="str">
        <f>Table1[[#This Row],[Quarter]]&amp;" - "&amp;Table1[[#This Row],[City]]</f>
        <v>Q4 - Delhi</v>
      </c>
    </row>
    <row r="945" spans="1:19" x14ac:dyDescent="0.3">
      <c r="A945" t="s">
        <v>1017</v>
      </c>
      <c r="B945" s="1">
        <v>45637</v>
      </c>
      <c r="C945" t="s">
        <v>989</v>
      </c>
      <c r="D945" t="s">
        <v>800</v>
      </c>
      <c r="E945" t="s">
        <v>15</v>
      </c>
      <c r="F945" t="s">
        <v>60</v>
      </c>
      <c r="G945" t="s">
        <v>124</v>
      </c>
      <c r="H945">
        <v>1</v>
      </c>
      <c r="I945">
        <v>1200</v>
      </c>
      <c r="J945">
        <v>0</v>
      </c>
      <c r="K945">
        <v>1200</v>
      </c>
      <c r="L945" t="s">
        <v>92</v>
      </c>
      <c r="M945" s="2">
        <f>Table1[[#This Row],[Revenue_INR]]-Table1[[#This Row],[Price_INR]]</f>
        <v>0</v>
      </c>
      <c r="N945">
        <f>YEAR(Table1[[#This Row],[Date]])</f>
        <v>2024</v>
      </c>
      <c r="O945" s="2">
        <f t="shared" si="56"/>
        <v>1200</v>
      </c>
      <c r="P945" s="7">
        <f t="shared" si="57"/>
        <v>0</v>
      </c>
      <c r="Q945" s="2">
        <f t="shared" si="58"/>
        <v>0</v>
      </c>
      <c r="R945" s="5" t="str">
        <f t="shared" si="59"/>
        <v>Below Average</v>
      </c>
      <c r="S945" s="5" t="str">
        <f>Table1[[#This Row],[Quarter]]&amp;" - "&amp;Table1[[#This Row],[City]]</f>
        <v>Q4 - Kolkata</v>
      </c>
    </row>
    <row r="946" spans="1:19" x14ac:dyDescent="0.3">
      <c r="A946" t="s">
        <v>1018</v>
      </c>
      <c r="B946" s="1">
        <v>45638</v>
      </c>
      <c r="C946" t="s">
        <v>989</v>
      </c>
      <c r="D946" t="s">
        <v>800</v>
      </c>
      <c r="E946" t="s">
        <v>15</v>
      </c>
      <c r="F946" t="s">
        <v>31</v>
      </c>
      <c r="G946" t="s">
        <v>35</v>
      </c>
      <c r="H946">
        <v>8</v>
      </c>
      <c r="I946">
        <v>2260</v>
      </c>
      <c r="J946">
        <v>10</v>
      </c>
      <c r="K946">
        <v>16272</v>
      </c>
      <c r="L946" t="s">
        <v>18</v>
      </c>
      <c r="M946" s="2">
        <f>Table1[[#This Row],[Revenue_INR]]-Table1[[#This Row],[Price_INR]]</f>
        <v>14012</v>
      </c>
      <c r="N946">
        <f>YEAR(Table1[[#This Row],[Date]])</f>
        <v>2024</v>
      </c>
      <c r="O946" s="2">
        <f t="shared" si="56"/>
        <v>2034</v>
      </c>
      <c r="P946" s="7">
        <f t="shared" si="57"/>
        <v>86.111111111111114</v>
      </c>
      <c r="Q946" s="2">
        <f t="shared" si="58"/>
        <v>1808</v>
      </c>
      <c r="R946" s="5" t="str">
        <f t="shared" si="59"/>
        <v>Below Average</v>
      </c>
      <c r="S946" s="5" t="str">
        <f>Table1[[#This Row],[Quarter]]&amp;" - "&amp;Table1[[#This Row],[City]]</f>
        <v>Q4 - Kolkata</v>
      </c>
    </row>
    <row r="947" spans="1:19" x14ac:dyDescent="0.3">
      <c r="A947" t="s">
        <v>1019</v>
      </c>
      <c r="B947" s="1">
        <v>45638</v>
      </c>
      <c r="C947" t="s">
        <v>989</v>
      </c>
      <c r="D947" t="s">
        <v>800</v>
      </c>
      <c r="E947" t="s">
        <v>34</v>
      </c>
      <c r="F947" t="s">
        <v>26</v>
      </c>
      <c r="G947" t="s">
        <v>82</v>
      </c>
      <c r="H947">
        <v>11</v>
      </c>
      <c r="I947">
        <v>3710</v>
      </c>
      <c r="J947">
        <v>15</v>
      </c>
      <c r="K947">
        <v>34688.5</v>
      </c>
      <c r="L947" t="s">
        <v>36</v>
      </c>
      <c r="M947" s="2">
        <f>Table1[[#This Row],[Revenue_INR]]-Table1[[#This Row],[Price_INR]]</f>
        <v>30978.5</v>
      </c>
      <c r="N947">
        <f>YEAR(Table1[[#This Row],[Date]])</f>
        <v>2024</v>
      </c>
      <c r="O947" s="2">
        <f t="shared" si="56"/>
        <v>3153.5</v>
      </c>
      <c r="P947" s="7">
        <f t="shared" si="57"/>
        <v>89.304812834224606</v>
      </c>
      <c r="Q947" s="2">
        <f t="shared" si="58"/>
        <v>6121.5</v>
      </c>
      <c r="R947" s="5" t="str">
        <f t="shared" si="59"/>
        <v>Above Average</v>
      </c>
      <c r="S947" s="5" t="str">
        <f>Table1[[#This Row],[Quarter]]&amp;" - "&amp;Table1[[#This Row],[City]]</f>
        <v>Q4 - Delhi</v>
      </c>
    </row>
    <row r="948" spans="1:19" x14ac:dyDescent="0.3">
      <c r="A948" t="s">
        <v>1020</v>
      </c>
      <c r="B948" s="1">
        <v>45638</v>
      </c>
      <c r="C948" t="s">
        <v>989</v>
      </c>
      <c r="D948" t="s">
        <v>800</v>
      </c>
      <c r="E948" t="s">
        <v>25</v>
      </c>
      <c r="F948" t="s">
        <v>16</v>
      </c>
      <c r="G948" t="s">
        <v>17</v>
      </c>
      <c r="H948">
        <v>13</v>
      </c>
      <c r="I948">
        <v>2540</v>
      </c>
      <c r="J948">
        <v>30</v>
      </c>
      <c r="K948">
        <v>23114</v>
      </c>
      <c r="L948" t="s">
        <v>28</v>
      </c>
      <c r="M948" s="2">
        <f>Table1[[#This Row],[Revenue_INR]]-Table1[[#This Row],[Price_INR]]</f>
        <v>20574</v>
      </c>
      <c r="N948">
        <f>YEAR(Table1[[#This Row],[Date]])</f>
        <v>2024</v>
      </c>
      <c r="O948" s="2">
        <f t="shared" si="56"/>
        <v>1778</v>
      </c>
      <c r="P948" s="7">
        <f t="shared" si="57"/>
        <v>89.010989010989007</v>
      </c>
      <c r="Q948" s="2">
        <f t="shared" si="58"/>
        <v>9906</v>
      </c>
      <c r="R948" s="5" t="str">
        <f t="shared" si="59"/>
        <v>Below Average</v>
      </c>
      <c r="S948" s="5" t="str">
        <f>Table1[[#This Row],[Quarter]]&amp;" - "&amp;Table1[[#This Row],[City]]</f>
        <v>Q4 - Hyderabad</v>
      </c>
    </row>
    <row r="949" spans="1:19" x14ac:dyDescent="0.3">
      <c r="A949" t="s">
        <v>1021</v>
      </c>
      <c r="B949" s="1">
        <v>45639</v>
      </c>
      <c r="C949" t="s">
        <v>989</v>
      </c>
      <c r="D949" t="s">
        <v>800</v>
      </c>
      <c r="E949" t="s">
        <v>34</v>
      </c>
      <c r="F949" t="s">
        <v>21</v>
      </c>
      <c r="G949" t="s">
        <v>75</v>
      </c>
      <c r="H949">
        <v>2</v>
      </c>
      <c r="I949">
        <v>1730</v>
      </c>
      <c r="J949">
        <v>10</v>
      </c>
      <c r="K949">
        <v>3114</v>
      </c>
      <c r="L949" t="s">
        <v>36</v>
      </c>
      <c r="M949" s="2">
        <f>Table1[[#This Row],[Revenue_INR]]-Table1[[#This Row],[Price_INR]]</f>
        <v>1384</v>
      </c>
      <c r="N949">
        <f>YEAR(Table1[[#This Row],[Date]])</f>
        <v>2024</v>
      </c>
      <c r="O949" s="2">
        <f t="shared" si="56"/>
        <v>1557</v>
      </c>
      <c r="P949" s="7">
        <f t="shared" si="57"/>
        <v>44.444444444444443</v>
      </c>
      <c r="Q949" s="2">
        <f t="shared" si="58"/>
        <v>346</v>
      </c>
      <c r="R949" s="5" t="str">
        <f t="shared" si="59"/>
        <v>Below Average</v>
      </c>
      <c r="S949" s="5" t="str">
        <f>Table1[[#This Row],[Quarter]]&amp;" - "&amp;Table1[[#This Row],[City]]</f>
        <v>Q4 - Delhi</v>
      </c>
    </row>
    <row r="950" spans="1:19" x14ac:dyDescent="0.3">
      <c r="A950" t="s">
        <v>1022</v>
      </c>
      <c r="B950" s="1">
        <v>45639</v>
      </c>
      <c r="C950" t="s">
        <v>989</v>
      </c>
      <c r="D950" t="s">
        <v>800</v>
      </c>
      <c r="E950" t="s">
        <v>20</v>
      </c>
      <c r="F950" t="s">
        <v>60</v>
      </c>
      <c r="G950" t="s">
        <v>99</v>
      </c>
      <c r="H950">
        <v>1</v>
      </c>
      <c r="I950">
        <v>1840</v>
      </c>
      <c r="J950">
        <v>25</v>
      </c>
      <c r="K950">
        <v>1380</v>
      </c>
      <c r="L950" t="s">
        <v>77</v>
      </c>
      <c r="M950" s="2">
        <f>Table1[[#This Row],[Revenue_INR]]-Table1[[#This Row],[Price_INR]]</f>
        <v>-460</v>
      </c>
      <c r="N950">
        <f>YEAR(Table1[[#This Row],[Date]])</f>
        <v>2024</v>
      </c>
      <c r="O950" s="2">
        <f t="shared" si="56"/>
        <v>1380</v>
      </c>
      <c r="P950" s="7">
        <f t="shared" si="57"/>
        <v>-33.333333333333329</v>
      </c>
      <c r="Q950" s="2">
        <f t="shared" si="58"/>
        <v>460</v>
      </c>
      <c r="R950" s="5" t="str">
        <f t="shared" si="59"/>
        <v>Below Average</v>
      </c>
      <c r="S950" s="5" t="str">
        <f>Table1[[#This Row],[Quarter]]&amp;" - "&amp;Table1[[#This Row],[City]]</f>
        <v>Q4 - Mumbai</v>
      </c>
    </row>
    <row r="951" spans="1:19" x14ac:dyDescent="0.3">
      <c r="A951" t="s">
        <v>1023</v>
      </c>
      <c r="B951" s="1">
        <v>45639</v>
      </c>
      <c r="C951" t="s">
        <v>989</v>
      </c>
      <c r="D951" t="s">
        <v>800</v>
      </c>
      <c r="E951" t="s">
        <v>25</v>
      </c>
      <c r="F951" t="s">
        <v>21</v>
      </c>
      <c r="G951" t="s">
        <v>71</v>
      </c>
      <c r="H951">
        <v>6</v>
      </c>
      <c r="I951">
        <v>1550</v>
      </c>
      <c r="J951">
        <v>5</v>
      </c>
      <c r="K951">
        <v>8835</v>
      </c>
      <c r="L951" t="s">
        <v>66</v>
      </c>
      <c r="M951" s="2">
        <f>Table1[[#This Row],[Revenue_INR]]-Table1[[#This Row],[Price_INR]]</f>
        <v>7285</v>
      </c>
      <c r="N951">
        <f>YEAR(Table1[[#This Row],[Date]])</f>
        <v>2024</v>
      </c>
      <c r="O951" s="2">
        <f t="shared" si="56"/>
        <v>1472.5</v>
      </c>
      <c r="P951" s="7">
        <f t="shared" si="57"/>
        <v>82.456140350877192</v>
      </c>
      <c r="Q951" s="2">
        <f t="shared" si="58"/>
        <v>465</v>
      </c>
      <c r="R951" s="5" t="str">
        <f t="shared" si="59"/>
        <v>Below Average</v>
      </c>
      <c r="S951" s="5" t="str">
        <f>Table1[[#This Row],[Quarter]]&amp;" - "&amp;Table1[[#This Row],[City]]</f>
        <v>Q4 - Hyderabad</v>
      </c>
    </row>
    <row r="952" spans="1:19" x14ac:dyDescent="0.3">
      <c r="A952" t="s">
        <v>1024</v>
      </c>
      <c r="B952" s="1">
        <v>45639</v>
      </c>
      <c r="C952" t="s">
        <v>989</v>
      </c>
      <c r="D952" t="s">
        <v>800</v>
      </c>
      <c r="E952" t="s">
        <v>20</v>
      </c>
      <c r="F952" t="s">
        <v>16</v>
      </c>
      <c r="G952" t="s">
        <v>17</v>
      </c>
      <c r="H952">
        <v>2</v>
      </c>
      <c r="I952">
        <v>480</v>
      </c>
      <c r="J952">
        <v>20</v>
      </c>
      <c r="K952">
        <v>768</v>
      </c>
      <c r="L952" t="s">
        <v>23</v>
      </c>
      <c r="M952" s="2">
        <f>Table1[[#This Row],[Revenue_INR]]-Table1[[#This Row],[Price_INR]]</f>
        <v>288</v>
      </c>
      <c r="N952">
        <f>YEAR(Table1[[#This Row],[Date]])</f>
        <v>2024</v>
      </c>
      <c r="O952" s="2">
        <f t="shared" si="56"/>
        <v>384</v>
      </c>
      <c r="P952" s="7">
        <f t="shared" si="57"/>
        <v>37.5</v>
      </c>
      <c r="Q952" s="2">
        <f t="shared" si="58"/>
        <v>192</v>
      </c>
      <c r="R952" s="5" t="str">
        <f t="shared" si="59"/>
        <v>Below Average</v>
      </c>
      <c r="S952" s="5" t="str">
        <f>Table1[[#This Row],[Quarter]]&amp;" - "&amp;Table1[[#This Row],[City]]</f>
        <v>Q4 - Mumbai</v>
      </c>
    </row>
    <row r="953" spans="1:19" x14ac:dyDescent="0.3">
      <c r="A953" t="s">
        <v>1025</v>
      </c>
      <c r="B953" s="1">
        <v>45641</v>
      </c>
      <c r="C953" t="s">
        <v>989</v>
      </c>
      <c r="D953" t="s">
        <v>800</v>
      </c>
      <c r="E953" t="s">
        <v>20</v>
      </c>
      <c r="F953" t="s">
        <v>21</v>
      </c>
      <c r="G953" t="s">
        <v>94</v>
      </c>
      <c r="H953">
        <v>3</v>
      </c>
      <c r="I953">
        <v>2820</v>
      </c>
      <c r="J953">
        <v>10</v>
      </c>
      <c r="K953">
        <v>7614</v>
      </c>
      <c r="L953" t="s">
        <v>23</v>
      </c>
      <c r="M953" s="2">
        <f>Table1[[#This Row],[Revenue_INR]]-Table1[[#This Row],[Price_INR]]</f>
        <v>4794</v>
      </c>
      <c r="N953">
        <f>YEAR(Table1[[#This Row],[Date]])</f>
        <v>2024</v>
      </c>
      <c r="O953" s="2">
        <f t="shared" si="56"/>
        <v>2538</v>
      </c>
      <c r="P953" s="7">
        <f t="shared" si="57"/>
        <v>62.962962962962962</v>
      </c>
      <c r="Q953" s="2">
        <f t="shared" si="58"/>
        <v>846</v>
      </c>
      <c r="R953" s="5" t="str">
        <f t="shared" si="59"/>
        <v>Below Average</v>
      </c>
      <c r="S953" s="5" t="str">
        <f>Table1[[#This Row],[Quarter]]&amp;" - "&amp;Table1[[#This Row],[City]]</f>
        <v>Q4 - Mumbai</v>
      </c>
    </row>
    <row r="954" spans="1:19" x14ac:dyDescent="0.3">
      <c r="A954" t="s">
        <v>1026</v>
      </c>
      <c r="B954" s="1">
        <v>45642</v>
      </c>
      <c r="C954" t="s">
        <v>989</v>
      </c>
      <c r="D954" t="s">
        <v>800</v>
      </c>
      <c r="E954" t="s">
        <v>34</v>
      </c>
      <c r="F954" t="s">
        <v>31</v>
      </c>
      <c r="G954" t="s">
        <v>38</v>
      </c>
      <c r="H954">
        <v>14</v>
      </c>
      <c r="I954">
        <v>5210</v>
      </c>
      <c r="J954">
        <v>25</v>
      </c>
      <c r="K954">
        <v>54705</v>
      </c>
      <c r="L954" t="s">
        <v>45</v>
      </c>
      <c r="M954" s="2">
        <f>Table1[[#This Row],[Revenue_INR]]-Table1[[#This Row],[Price_INR]]</f>
        <v>49495</v>
      </c>
      <c r="N954">
        <f>YEAR(Table1[[#This Row],[Date]])</f>
        <v>2024</v>
      </c>
      <c r="O954" s="2">
        <f t="shared" si="56"/>
        <v>3907.5</v>
      </c>
      <c r="P954" s="7">
        <f t="shared" si="57"/>
        <v>90.476190476190482</v>
      </c>
      <c r="Q954" s="2">
        <f t="shared" si="58"/>
        <v>18235</v>
      </c>
      <c r="R954" s="5" t="str">
        <f t="shared" si="59"/>
        <v>Above Average</v>
      </c>
      <c r="S954" s="5" t="str">
        <f>Table1[[#This Row],[Quarter]]&amp;" - "&amp;Table1[[#This Row],[City]]</f>
        <v>Q4 - Delhi</v>
      </c>
    </row>
    <row r="955" spans="1:19" x14ac:dyDescent="0.3">
      <c r="A955" t="s">
        <v>1027</v>
      </c>
      <c r="B955" s="1">
        <v>45642</v>
      </c>
      <c r="C955" t="s">
        <v>989</v>
      </c>
      <c r="D955" t="s">
        <v>800</v>
      </c>
      <c r="E955" t="s">
        <v>20</v>
      </c>
      <c r="F955" t="s">
        <v>16</v>
      </c>
      <c r="G955" t="s">
        <v>44</v>
      </c>
      <c r="H955">
        <v>13</v>
      </c>
      <c r="I955">
        <v>2590</v>
      </c>
      <c r="J955">
        <v>20</v>
      </c>
      <c r="K955">
        <v>26936</v>
      </c>
      <c r="L955" t="s">
        <v>39</v>
      </c>
      <c r="M955" s="2">
        <f>Table1[[#This Row],[Revenue_INR]]-Table1[[#This Row],[Price_INR]]</f>
        <v>24346</v>
      </c>
      <c r="N955">
        <f>YEAR(Table1[[#This Row],[Date]])</f>
        <v>2024</v>
      </c>
      <c r="O955" s="2">
        <f t="shared" si="56"/>
        <v>2072</v>
      </c>
      <c r="P955" s="7">
        <f t="shared" si="57"/>
        <v>90.384615384615387</v>
      </c>
      <c r="Q955" s="2">
        <f t="shared" si="58"/>
        <v>6734</v>
      </c>
      <c r="R955" s="5" t="str">
        <f t="shared" si="59"/>
        <v>Above Average</v>
      </c>
      <c r="S955" s="5" t="str">
        <f>Table1[[#This Row],[Quarter]]&amp;" - "&amp;Table1[[#This Row],[City]]</f>
        <v>Q4 - Mumbai</v>
      </c>
    </row>
    <row r="956" spans="1:19" x14ac:dyDescent="0.3">
      <c r="A956" t="s">
        <v>1028</v>
      </c>
      <c r="B956" s="1">
        <v>45642</v>
      </c>
      <c r="C956" t="s">
        <v>989</v>
      </c>
      <c r="D956" t="s">
        <v>800</v>
      </c>
      <c r="E956" t="s">
        <v>15</v>
      </c>
      <c r="F956" t="s">
        <v>16</v>
      </c>
      <c r="G956" t="s">
        <v>17</v>
      </c>
      <c r="H956">
        <v>11</v>
      </c>
      <c r="I956">
        <v>2490</v>
      </c>
      <c r="J956">
        <v>25</v>
      </c>
      <c r="K956">
        <v>20542.5</v>
      </c>
      <c r="L956" t="s">
        <v>18</v>
      </c>
      <c r="M956" s="2">
        <f>Table1[[#This Row],[Revenue_INR]]-Table1[[#This Row],[Price_INR]]</f>
        <v>18052.5</v>
      </c>
      <c r="N956">
        <f>YEAR(Table1[[#This Row],[Date]])</f>
        <v>2024</v>
      </c>
      <c r="O956" s="2">
        <f t="shared" si="56"/>
        <v>1867.5</v>
      </c>
      <c r="P956" s="7">
        <f t="shared" si="57"/>
        <v>87.878787878787875</v>
      </c>
      <c r="Q956" s="2">
        <f t="shared" si="58"/>
        <v>6847.5</v>
      </c>
      <c r="R956" s="5" t="str">
        <f t="shared" si="59"/>
        <v>Below Average</v>
      </c>
      <c r="S956" s="5" t="str">
        <f>Table1[[#This Row],[Quarter]]&amp;" - "&amp;Table1[[#This Row],[City]]</f>
        <v>Q4 - Kolkata</v>
      </c>
    </row>
    <row r="957" spans="1:19" x14ac:dyDescent="0.3">
      <c r="A957" t="s">
        <v>1029</v>
      </c>
      <c r="B957" s="1">
        <v>45642</v>
      </c>
      <c r="C957" t="s">
        <v>989</v>
      </c>
      <c r="D957" t="s">
        <v>800</v>
      </c>
      <c r="E957" t="s">
        <v>34</v>
      </c>
      <c r="F957" t="s">
        <v>16</v>
      </c>
      <c r="G957" t="s">
        <v>69</v>
      </c>
      <c r="H957">
        <v>7</v>
      </c>
      <c r="I957">
        <v>2800</v>
      </c>
      <c r="J957">
        <v>15</v>
      </c>
      <c r="K957">
        <v>16660</v>
      </c>
      <c r="L957" t="s">
        <v>49</v>
      </c>
      <c r="M957" s="2">
        <f>Table1[[#This Row],[Revenue_INR]]-Table1[[#This Row],[Price_INR]]</f>
        <v>13860</v>
      </c>
      <c r="N957">
        <f>YEAR(Table1[[#This Row],[Date]])</f>
        <v>2024</v>
      </c>
      <c r="O957" s="2">
        <f t="shared" si="56"/>
        <v>2380</v>
      </c>
      <c r="P957" s="7">
        <f t="shared" si="57"/>
        <v>83.193277310924373</v>
      </c>
      <c r="Q957" s="2">
        <f t="shared" si="58"/>
        <v>2940</v>
      </c>
      <c r="R957" s="5" t="str">
        <f t="shared" si="59"/>
        <v>Below Average</v>
      </c>
      <c r="S957" s="5" t="str">
        <f>Table1[[#This Row],[Quarter]]&amp;" - "&amp;Table1[[#This Row],[City]]</f>
        <v>Q4 - Delhi</v>
      </c>
    </row>
    <row r="958" spans="1:19" x14ac:dyDescent="0.3">
      <c r="A958" t="s">
        <v>1030</v>
      </c>
      <c r="B958" s="1">
        <v>45642</v>
      </c>
      <c r="C958" t="s">
        <v>989</v>
      </c>
      <c r="D958" t="s">
        <v>800</v>
      </c>
      <c r="E958" t="s">
        <v>25</v>
      </c>
      <c r="F958" t="s">
        <v>47</v>
      </c>
      <c r="G958" t="s">
        <v>55</v>
      </c>
      <c r="H958">
        <v>4</v>
      </c>
      <c r="I958">
        <v>8470</v>
      </c>
      <c r="J958">
        <v>5</v>
      </c>
      <c r="K958">
        <v>32186</v>
      </c>
      <c r="L958" t="s">
        <v>28</v>
      </c>
      <c r="M958" s="2">
        <f>Table1[[#This Row],[Revenue_INR]]-Table1[[#This Row],[Price_INR]]</f>
        <v>23716</v>
      </c>
      <c r="N958">
        <f>YEAR(Table1[[#This Row],[Date]])</f>
        <v>2024</v>
      </c>
      <c r="O958" s="2">
        <f t="shared" si="56"/>
        <v>8046.5</v>
      </c>
      <c r="P958" s="7">
        <f t="shared" si="57"/>
        <v>73.68421052631578</v>
      </c>
      <c r="Q958" s="2">
        <f t="shared" si="58"/>
        <v>1694</v>
      </c>
      <c r="R958" s="5" t="str">
        <f t="shared" si="59"/>
        <v>Above Average</v>
      </c>
      <c r="S958" s="5" t="str">
        <f>Table1[[#This Row],[Quarter]]&amp;" - "&amp;Table1[[#This Row],[City]]</f>
        <v>Q4 - Hyderabad</v>
      </c>
    </row>
    <row r="959" spans="1:19" x14ac:dyDescent="0.3">
      <c r="A959" t="s">
        <v>1031</v>
      </c>
      <c r="B959" s="1">
        <v>45642</v>
      </c>
      <c r="C959" t="s">
        <v>989</v>
      </c>
      <c r="D959" t="s">
        <v>800</v>
      </c>
      <c r="E959" t="s">
        <v>25</v>
      </c>
      <c r="F959" t="s">
        <v>60</v>
      </c>
      <c r="G959" t="s">
        <v>85</v>
      </c>
      <c r="H959">
        <v>14</v>
      </c>
      <c r="I959">
        <v>1630</v>
      </c>
      <c r="J959">
        <v>10</v>
      </c>
      <c r="K959">
        <v>20538</v>
      </c>
      <c r="L959" t="s">
        <v>28</v>
      </c>
      <c r="M959" s="2">
        <f>Table1[[#This Row],[Revenue_INR]]-Table1[[#This Row],[Price_INR]]</f>
        <v>18908</v>
      </c>
      <c r="N959">
        <f>YEAR(Table1[[#This Row],[Date]])</f>
        <v>2024</v>
      </c>
      <c r="O959" s="2">
        <f t="shared" si="56"/>
        <v>1467</v>
      </c>
      <c r="P959" s="7">
        <f t="shared" si="57"/>
        <v>92.063492063492063</v>
      </c>
      <c r="Q959" s="2">
        <f t="shared" si="58"/>
        <v>2282</v>
      </c>
      <c r="R959" s="5" t="str">
        <f t="shared" si="59"/>
        <v>Below Average</v>
      </c>
      <c r="S959" s="5" t="str">
        <f>Table1[[#This Row],[Quarter]]&amp;" - "&amp;Table1[[#This Row],[City]]</f>
        <v>Q4 - Hyderabad</v>
      </c>
    </row>
    <row r="960" spans="1:19" x14ac:dyDescent="0.3">
      <c r="A960" t="s">
        <v>1032</v>
      </c>
      <c r="B960" s="1">
        <v>45643</v>
      </c>
      <c r="C960" t="s">
        <v>989</v>
      </c>
      <c r="D960" t="s">
        <v>800</v>
      </c>
      <c r="E960" t="s">
        <v>34</v>
      </c>
      <c r="F960" t="s">
        <v>60</v>
      </c>
      <c r="G960" t="s">
        <v>124</v>
      </c>
      <c r="H960">
        <v>10</v>
      </c>
      <c r="I960">
        <v>1120</v>
      </c>
      <c r="J960">
        <v>30</v>
      </c>
      <c r="K960">
        <v>7840</v>
      </c>
      <c r="L960" t="s">
        <v>36</v>
      </c>
      <c r="M960" s="2">
        <f>Table1[[#This Row],[Revenue_INR]]-Table1[[#This Row],[Price_INR]]</f>
        <v>6720</v>
      </c>
      <c r="N960">
        <f>YEAR(Table1[[#This Row],[Date]])</f>
        <v>2024</v>
      </c>
      <c r="O960" s="2">
        <f t="shared" si="56"/>
        <v>784</v>
      </c>
      <c r="P960" s="7">
        <f t="shared" si="57"/>
        <v>85.714285714285708</v>
      </c>
      <c r="Q960" s="2">
        <f t="shared" si="58"/>
        <v>3360</v>
      </c>
      <c r="R960" s="5" t="str">
        <f t="shared" si="59"/>
        <v>Below Average</v>
      </c>
      <c r="S960" s="5" t="str">
        <f>Table1[[#This Row],[Quarter]]&amp;" - "&amp;Table1[[#This Row],[City]]</f>
        <v>Q4 - Delhi</v>
      </c>
    </row>
    <row r="961" spans="1:19" x14ac:dyDescent="0.3">
      <c r="A961" t="s">
        <v>1033</v>
      </c>
      <c r="B961" s="1">
        <v>45643</v>
      </c>
      <c r="C961" t="s">
        <v>989</v>
      </c>
      <c r="D961" t="s">
        <v>800</v>
      </c>
      <c r="E961" t="s">
        <v>20</v>
      </c>
      <c r="F961" t="s">
        <v>21</v>
      </c>
      <c r="G961" t="s">
        <v>22</v>
      </c>
      <c r="H961">
        <v>7</v>
      </c>
      <c r="I961">
        <v>1330</v>
      </c>
      <c r="J961">
        <v>10</v>
      </c>
      <c r="K961">
        <v>8379</v>
      </c>
      <c r="L961" t="s">
        <v>77</v>
      </c>
      <c r="M961" s="2">
        <f>Table1[[#This Row],[Revenue_INR]]-Table1[[#This Row],[Price_INR]]</f>
        <v>7049</v>
      </c>
      <c r="N961">
        <f>YEAR(Table1[[#This Row],[Date]])</f>
        <v>2024</v>
      </c>
      <c r="O961" s="2">
        <f t="shared" si="56"/>
        <v>1197</v>
      </c>
      <c r="P961" s="7">
        <f t="shared" si="57"/>
        <v>84.126984126984127</v>
      </c>
      <c r="Q961" s="2">
        <f t="shared" si="58"/>
        <v>931</v>
      </c>
      <c r="R961" s="5" t="str">
        <f t="shared" si="59"/>
        <v>Below Average</v>
      </c>
      <c r="S961" s="5" t="str">
        <f>Table1[[#This Row],[Quarter]]&amp;" - "&amp;Table1[[#This Row],[City]]</f>
        <v>Q4 - Mumbai</v>
      </c>
    </row>
    <row r="962" spans="1:19" x14ac:dyDescent="0.3">
      <c r="A962" t="s">
        <v>1034</v>
      </c>
      <c r="B962" s="1">
        <v>45643</v>
      </c>
      <c r="C962" t="s">
        <v>989</v>
      </c>
      <c r="D962" t="s">
        <v>800</v>
      </c>
      <c r="E962" t="s">
        <v>25</v>
      </c>
      <c r="F962" t="s">
        <v>31</v>
      </c>
      <c r="G962" t="s">
        <v>131</v>
      </c>
      <c r="H962">
        <v>8</v>
      </c>
      <c r="I962">
        <v>2240</v>
      </c>
      <c r="J962">
        <v>0</v>
      </c>
      <c r="K962">
        <v>17920</v>
      </c>
      <c r="L962" t="s">
        <v>66</v>
      </c>
      <c r="M962" s="2">
        <f>Table1[[#This Row],[Revenue_INR]]-Table1[[#This Row],[Price_INR]]</f>
        <v>15680</v>
      </c>
      <c r="N962">
        <f>YEAR(Table1[[#This Row],[Date]])</f>
        <v>2024</v>
      </c>
      <c r="O962" s="2">
        <f t="shared" ref="O962:O1001" si="60">K962/H962</f>
        <v>2240</v>
      </c>
      <c r="P962" s="7">
        <f t="shared" ref="P962:P1001" si="61">M962/K962*100</f>
        <v>87.5</v>
      </c>
      <c r="Q962" s="2">
        <f t="shared" ref="Q962:Q1001" si="62">I962*H962*J962/100</f>
        <v>0</v>
      </c>
      <c r="R962" s="5" t="str">
        <f t="shared" ref="R962:R1001" si="63">IF(K962&gt;AVERAGE($K$2:$K$1001),"Above Average","Below Average")</f>
        <v>Below Average</v>
      </c>
      <c r="S962" s="5" t="str">
        <f>Table1[[#This Row],[Quarter]]&amp;" - "&amp;Table1[[#This Row],[City]]</f>
        <v>Q4 - Hyderabad</v>
      </c>
    </row>
    <row r="963" spans="1:19" x14ac:dyDescent="0.3">
      <c r="A963" t="s">
        <v>1035</v>
      </c>
      <c r="B963" s="1">
        <v>45643</v>
      </c>
      <c r="C963" t="s">
        <v>989</v>
      </c>
      <c r="D963" t="s">
        <v>800</v>
      </c>
      <c r="E963" t="s">
        <v>15</v>
      </c>
      <c r="F963" t="s">
        <v>47</v>
      </c>
      <c r="G963" t="s">
        <v>55</v>
      </c>
      <c r="H963">
        <v>7</v>
      </c>
      <c r="I963">
        <v>5520</v>
      </c>
      <c r="J963">
        <v>30</v>
      </c>
      <c r="K963">
        <v>27048</v>
      </c>
      <c r="L963" t="s">
        <v>92</v>
      </c>
      <c r="M963" s="2">
        <f>Table1[[#This Row],[Revenue_INR]]-Table1[[#This Row],[Price_INR]]</f>
        <v>21528</v>
      </c>
      <c r="N963">
        <f>YEAR(Table1[[#This Row],[Date]])</f>
        <v>2024</v>
      </c>
      <c r="O963" s="2">
        <f t="shared" si="60"/>
        <v>3864</v>
      </c>
      <c r="P963" s="7">
        <f t="shared" si="61"/>
        <v>79.591836734693871</v>
      </c>
      <c r="Q963" s="2">
        <f t="shared" si="62"/>
        <v>11592</v>
      </c>
      <c r="R963" s="5" t="str">
        <f t="shared" si="63"/>
        <v>Above Average</v>
      </c>
      <c r="S963" s="5" t="str">
        <f>Table1[[#This Row],[Quarter]]&amp;" - "&amp;Table1[[#This Row],[City]]</f>
        <v>Q4 - Kolkata</v>
      </c>
    </row>
    <row r="964" spans="1:19" x14ac:dyDescent="0.3">
      <c r="A964" t="s">
        <v>1036</v>
      </c>
      <c r="B964" s="1">
        <v>45644</v>
      </c>
      <c r="C964" t="s">
        <v>989</v>
      </c>
      <c r="D964" t="s">
        <v>800</v>
      </c>
      <c r="E964" t="s">
        <v>34</v>
      </c>
      <c r="F964" t="s">
        <v>16</v>
      </c>
      <c r="G964" t="s">
        <v>69</v>
      </c>
      <c r="H964">
        <v>10</v>
      </c>
      <c r="I964">
        <v>2940</v>
      </c>
      <c r="J964">
        <v>10</v>
      </c>
      <c r="K964">
        <v>26460</v>
      </c>
      <c r="L964" t="s">
        <v>36</v>
      </c>
      <c r="M964" s="2">
        <f>Table1[[#This Row],[Revenue_INR]]-Table1[[#This Row],[Price_INR]]</f>
        <v>23520</v>
      </c>
      <c r="N964">
        <f>YEAR(Table1[[#This Row],[Date]])</f>
        <v>2024</v>
      </c>
      <c r="O964" s="2">
        <f t="shared" si="60"/>
        <v>2646</v>
      </c>
      <c r="P964" s="7">
        <f t="shared" si="61"/>
        <v>88.888888888888886</v>
      </c>
      <c r="Q964" s="2">
        <f t="shared" si="62"/>
        <v>2940</v>
      </c>
      <c r="R964" s="5" t="str">
        <f t="shared" si="63"/>
        <v>Above Average</v>
      </c>
      <c r="S964" s="5" t="str">
        <f>Table1[[#This Row],[Quarter]]&amp;" - "&amp;Table1[[#This Row],[City]]</f>
        <v>Q4 - Delhi</v>
      </c>
    </row>
    <row r="965" spans="1:19" x14ac:dyDescent="0.3">
      <c r="A965" t="s">
        <v>1037</v>
      </c>
      <c r="B965" s="1">
        <v>45644</v>
      </c>
      <c r="C965" t="s">
        <v>989</v>
      </c>
      <c r="D965" t="s">
        <v>800</v>
      </c>
      <c r="E965" t="s">
        <v>15</v>
      </c>
      <c r="F965" t="s">
        <v>26</v>
      </c>
      <c r="G965" t="s">
        <v>27</v>
      </c>
      <c r="H965">
        <v>14</v>
      </c>
      <c r="I965">
        <v>5460</v>
      </c>
      <c r="J965">
        <v>10</v>
      </c>
      <c r="K965">
        <v>68796</v>
      </c>
      <c r="L965" t="s">
        <v>92</v>
      </c>
      <c r="M965" s="2">
        <f>Table1[[#This Row],[Revenue_INR]]-Table1[[#This Row],[Price_INR]]</f>
        <v>63336</v>
      </c>
      <c r="N965">
        <f>YEAR(Table1[[#This Row],[Date]])</f>
        <v>2024</v>
      </c>
      <c r="O965" s="2">
        <f t="shared" si="60"/>
        <v>4914</v>
      </c>
      <c r="P965" s="7">
        <f t="shared" si="61"/>
        <v>92.063492063492063</v>
      </c>
      <c r="Q965" s="2">
        <f t="shared" si="62"/>
        <v>7644</v>
      </c>
      <c r="R965" s="5" t="str">
        <f t="shared" si="63"/>
        <v>Above Average</v>
      </c>
      <c r="S965" s="5" t="str">
        <f>Table1[[#This Row],[Quarter]]&amp;" - "&amp;Table1[[#This Row],[City]]</f>
        <v>Q4 - Kolkata</v>
      </c>
    </row>
    <row r="966" spans="1:19" x14ac:dyDescent="0.3">
      <c r="A966" t="s">
        <v>1038</v>
      </c>
      <c r="B966" s="1">
        <v>45645</v>
      </c>
      <c r="C966" t="s">
        <v>989</v>
      </c>
      <c r="D966" t="s">
        <v>800</v>
      </c>
      <c r="E966" t="s">
        <v>15</v>
      </c>
      <c r="F966" t="s">
        <v>21</v>
      </c>
      <c r="G966" t="s">
        <v>71</v>
      </c>
      <c r="H966">
        <v>15</v>
      </c>
      <c r="I966">
        <v>900</v>
      </c>
      <c r="J966">
        <v>10</v>
      </c>
      <c r="K966">
        <v>12150</v>
      </c>
      <c r="L966" t="s">
        <v>92</v>
      </c>
      <c r="M966" s="2">
        <f>Table1[[#This Row],[Revenue_INR]]-Table1[[#This Row],[Price_INR]]</f>
        <v>11250</v>
      </c>
      <c r="N966">
        <f>YEAR(Table1[[#This Row],[Date]])</f>
        <v>2024</v>
      </c>
      <c r="O966" s="2">
        <f t="shared" si="60"/>
        <v>810</v>
      </c>
      <c r="P966" s="7">
        <f t="shared" si="61"/>
        <v>92.592592592592595</v>
      </c>
      <c r="Q966" s="2">
        <f t="shared" si="62"/>
        <v>1350</v>
      </c>
      <c r="R966" s="5" t="str">
        <f t="shared" si="63"/>
        <v>Below Average</v>
      </c>
      <c r="S966" s="5" t="str">
        <f>Table1[[#This Row],[Quarter]]&amp;" - "&amp;Table1[[#This Row],[City]]</f>
        <v>Q4 - Kolkata</v>
      </c>
    </row>
    <row r="967" spans="1:19" x14ac:dyDescent="0.3">
      <c r="A967" t="s">
        <v>1039</v>
      </c>
      <c r="B967" s="1">
        <v>45645</v>
      </c>
      <c r="C967" t="s">
        <v>989</v>
      </c>
      <c r="D967" t="s">
        <v>800</v>
      </c>
      <c r="E967" t="s">
        <v>34</v>
      </c>
      <c r="F967" t="s">
        <v>21</v>
      </c>
      <c r="G967" t="s">
        <v>94</v>
      </c>
      <c r="H967">
        <v>12</v>
      </c>
      <c r="I967">
        <v>2880</v>
      </c>
      <c r="J967">
        <v>5</v>
      </c>
      <c r="K967">
        <v>32832</v>
      </c>
      <c r="L967" t="s">
        <v>36</v>
      </c>
      <c r="M967" s="2">
        <f>Table1[[#This Row],[Revenue_INR]]-Table1[[#This Row],[Price_INR]]</f>
        <v>29952</v>
      </c>
      <c r="N967">
        <f>YEAR(Table1[[#This Row],[Date]])</f>
        <v>2024</v>
      </c>
      <c r="O967" s="2">
        <f t="shared" si="60"/>
        <v>2736</v>
      </c>
      <c r="P967" s="7">
        <f t="shared" si="61"/>
        <v>91.228070175438589</v>
      </c>
      <c r="Q967" s="2">
        <f t="shared" si="62"/>
        <v>1728</v>
      </c>
      <c r="R967" s="5" t="str">
        <f t="shared" si="63"/>
        <v>Above Average</v>
      </c>
      <c r="S967" s="5" t="str">
        <f>Table1[[#This Row],[Quarter]]&amp;" - "&amp;Table1[[#This Row],[City]]</f>
        <v>Q4 - Delhi</v>
      </c>
    </row>
    <row r="968" spans="1:19" x14ac:dyDescent="0.3">
      <c r="A968" t="s">
        <v>1040</v>
      </c>
      <c r="B968" s="1">
        <v>45645</v>
      </c>
      <c r="C968" t="s">
        <v>989</v>
      </c>
      <c r="D968" t="s">
        <v>800</v>
      </c>
      <c r="E968" t="s">
        <v>20</v>
      </c>
      <c r="F968" t="s">
        <v>47</v>
      </c>
      <c r="G968" t="s">
        <v>51</v>
      </c>
      <c r="H968">
        <v>1</v>
      </c>
      <c r="I968">
        <v>2060</v>
      </c>
      <c r="J968">
        <v>20</v>
      </c>
      <c r="K968">
        <v>1648</v>
      </c>
      <c r="L968" t="s">
        <v>23</v>
      </c>
      <c r="M968" s="2">
        <f>Table1[[#This Row],[Revenue_INR]]-Table1[[#This Row],[Price_INR]]</f>
        <v>-412</v>
      </c>
      <c r="N968">
        <f>YEAR(Table1[[#This Row],[Date]])</f>
        <v>2024</v>
      </c>
      <c r="O968" s="2">
        <f t="shared" si="60"/>
        <v>1648</v>
      </c>
      <c r="P968" s="7">
        <f t="shared" si="61"/>
        <v>-25</v>
      </c>
      <c r="Q968" s="2">
        <f t="shared" si="62"/>
        <v>412</v>
      </c>
      <c r="R968" s="5" t="str">
        <f t="shared" si="63"/>
        <v>Below Average</v>
      </c>
      <c r="S968" s="5" t="str">
        <f>Table1[[#This Row],[Quarter]]&amp;" - "&amp;Table1[[#This Row],[City]]</f>
        <v>Q4 - Mumbai</v>
      </c>
    </row>
    <row r="969" spans="1:19" x14ac:dyDescent="0.3">
      <c r="A969" t="s">
        <v>1041</v>
      </c>
      <c r="B969" s="1">
        <v>45646</v>
      </c>
      <c r="C969" t="s">
        <v>989</v>
      </c>
      <c r="D969" t="s">
        <v>800</v>
      </c>
      <c r="E969" t="s">
        <v>20</v>
      </c>
      <c r="F969" t="s">
        <v>26</v>
      </c>
      <c r="G969" t="s">
        <v>80</v>
      </c>
      <c r="H969">
        <v>15</v>
      </c>
      <c r="I969">
        <v>4140</v>
      </c>
      <c r="J969">
        <v>30</v>
      </c>
      <c r="K969">
        <v>43470</v>
      </c>
      <c r="L969" t="s">
        <v>77</v>
      </c>
      <c r="M969" s="2">
        <f>Table1[[#This Row],[Revenue_INR]]-Table1[[#This Row],[Price_INR]]</f>
        <v>39330</v>
      </c>
      <c r="N969">
        <f>YEAR(Table1[[#This Row],[Date]])</f>
        <v>2024</v>
      </c>
      <c r="O969" s="2">
        <f t="shared" si="60"/>
        <v>2898</v>
      </c>
      <c r="P969" s="7">
        <f t="shared" si="61"/>
        <v>90.476190476190482</v>
      </c>
      <c r="Q969" s="2">
        <f t="shared" si="62"/>
        <v>18630</v>
      </c>
      <c r="R969" s="5" t="str">
        <f t="shared" si="63"/>
        <v>Above Average</v>
      </c>
      <c r="S969" s="5" t="str">
        <f>Table1[[#This Row],[Quarter]]&amp;" - "&amp;Table1[[#This Row],[City]]</f>
        <v>Q4 - Mumbai</v>
      </c>
    </row>
    <row r="970" spans="1:19" x14ac:dyDescent="0.3">
      <c r="A970" t="s">
        <v>1042</v>
      </c>
      <c r="B970" s="1">
        <v>45646</v>
      </c>
      <c r="C970" t="s">
        <v>989</v>
      </c>
      <c r="D970" t="s">
        <v>800</v>
      </c>
      <c r="E970" t="s">
        <v>15</v>
      </c>
      <c r="F970" t="s">
        <v>47</v>
      </c>
      <c r="G970" t="s">
        <v>51</v>
      </c>
      <c r="H970">
        <v>13</v>
      </c>
      <c r="I970">
        <v>2580</v>
      </c>
      <c r="J970">
        <v>0</v>
      </c>
      <c r="K970">
        <v>33540</v>
      </c>
      <c r="L970" t="s">
        <v>18</v>
      </c>
      <c r="M970" s="2">
        <f>Table1[[#This Row],[Revenue_INR]]-Table1[[#This Row],[Price_INR]]</f>
        <v>30960</v>
      </c>
      <c r="N970">
        <f>YEAR(Table1[[#This Row],[Date]])</f>
        <v>2024</v>
      </c>
      <c r="O970" s="2">
        <f t="shared" si="60"/>
        <v>2580</v>
      </c>
      <c r="P970" s="7">
        <f t="shared" si="61"/>
        <v>92.307692307692307</v>
      </c>
      <c r="Q970" s="2">
        <f t="shared" si="62"/>
        <v>0</v>
      </c>
      <c r="R970" s="5" t="str">
        <f t="shared" si="63"/>
        <v>Above Average</v>
      </c>
      <c r="S970" s="5" t="str">
        <f>Table1[[#This Row],[Quarter]]&amp;" - "&amp;Table1[[#This Row],[City]]</f>
        <v>Q4 - Kolkata</v>
      </c>
    </row>
    <row r="971" spans="1:19" x14ac:dyDescent="0.3">
      <c r="A971" t="s">
        <v>1043</v>
      </c>
      <c r="B971" s="1">
        <v>45646</v>
      </c>
      <c r="C971" t="s">
        <v>989</v>
      </c>
      <c r="D971" t="s">
        <v>800</v>
      </c>
      <c r="E971" t="s">
        <v>20</v>
      </c>
      <c r="F971" t="s">
        <v>47</v>
      </c>
      <c r="G971" t="s">
        <v>102</v>
      </c>
      <c r="H971">
        <v>9</v>
      </c>
      <c r="I971">
        <v>6070</v>
      </c>
      <c r="J971">
        <v>20</v>
      </c>
      <c r="K971">
        <v>43704</v>
      </c>
      <c r="L971" t="s">
        <v>23</v>
      </c>
      <c r="M971" s="2">
        <f>Table1[[#This Row],[Revenue_INR]]-Table1[[#This Row],[Price_INR]]</f>
        <v>37634</v>
      </c>
      <c r="N971">
        <f>YEAR(Table1[[#This Row],[Date]])</f>
        <v>2024</v>
      </c>
      <c r="O971" s="2">
        <f t="shared" si="60"/>
        <v>4856</v>
      </c>
      <c r="P971" s="7">
        <f t="shared" si="61"/>
        <v>86.111111111111114</v>
      </c>
      <c r="Q971" s="2">
        <f t="shared" si="62"/>
        <v>10926</v>
      </c>
      <c r="R971" s="5" t="str">
        <f t="shared" si="63"/>
        <v>Above Average</v>
      </c>
      <c r="S971" s="5" t="str">
        <f>Table1[[#This Row],[Quarter]]&amp;" - "&amp;Table1[[#This Row],[City]]</f>
        <v>Q4 - Mumbai</v>
      </c>
    </row>
    <row r="972" spans="1:19" x14ac:dyDescent="0.3">
      <c r="A972" t="s">
        <v>1044</v>
      </c>
      <c r="B972" s="1">
        <v>45647</v>
      </c>
      <c r="C972" t="s">
        <v>989</v>
      </c>
      <c r="D972" t="s">
        <v>800</v>
      </c>
      <c r="E972" t="s">
        <v>25</v>
      </c>
      <c r="F972" t="s">
        <v>47</v>
      </c>
      <c r="G972" t="s">
        <v>102</v>
      </c>
      <c r="H972">
        <v>4</v>
      </c>
      <c r="I972">
        <v>2460</v>
      </c>
      <c r="J972">
        <v>30</v>
      </c>
      <c r="K972">
        <v>6888</v>
      </c>
      <c r="L972" t="s">
        <v>66</v>
      </c>
      <c r="M972" s="2">
        <f>Table1[[#This Row],[Revenue_INR]]-Table1[[#This Row],[Price_INR]]</f>
        <v>4428</v>
      </c>
      <c r="N972">
        <f>YEAR(Table1[[#This Row],[Date]])</f>
        <v>2024</v>
      </c>
      <c r="O972" s="2">
        <f t="shared" si="60"/>
        <v>1722</v>
      </c>
      <c r="P972" s="7">
        <f t="shared" si="61"/>
        <v>64.285714285714292</v>
      </c>
      <c r="Q972" s="2">
        <f t="shared" si="62"/>
        <v>2952</v>
      </c>
      <c r="R972" s="5" t="str">
        <f t="shared" si="63"/>
        <v>Below Average</v>
      </c>
      <c r="S972" s="5" t="str">
        <f>Table1[[#This Row],[Quarter]]&amp;" - "&amp;Table1[[#This Row],[City]]</f>
        <v>Q4 - Hyderabad</v>
      </c>
    </row>
    <row r="973" spans="1:19" x14ac:dyDescent="0.3">
      <c r="A973" t="s">
        <v>1045</v>
      </c>
      <c r="B973" s="1">
        <v>45647</v>
      </c>
      <c r="C973" t="s">
        <v>989</v>
      </c>
      <c r="D973" t="s">
        <v>800</v>
      </c>
      <c r="E973" t="s">
        <v>34</v>
      </c>
      <c r="F973" t="s">
        <v>16</v>
      </c>
      <c r="G973" t="s">
        <v>41</v>
      </c>
      <c r="H973">
        <v>10</v>
      </c>
      <c r="I973">
        <v>880</v>
      </c>
      <c r="J973">
        <v>10</v>
      </c>
      <c r="K973">
        <v>7920</v>
      </c>
      <c r="L973" t="s">
        <v>49</v>
      </c>
      <c r="M973" s="2">
        <f>Table1[[#This Row],[Revenue_INR]]-Table1[[#This Row],[Price_INR]]</f>
        <v>7040</v>
      </c>
      <c r="N973">
        <f>YEAR(Table1[[#This Row],[Date]])</f>
        <v>2024</v>
      </c>
      <c r="O973" s="2">
        <f t="shared" si="60"/>
        <v>792</v>
      </c>
      <c r="P973" s="7">
        <f t="shared" si="61"/>
        <v>88.888888888888886</v>
      </c>
      <c r="Q973" s="2">
        <f t="shared" si="62"/>
        <v>880</v>
      </c>
      <c r="R973" s="5" t="str">
        <f t="shared" si="63"/>
        <v>Below Average</v>
      </c>
      <c r="S973" s="5" t="str">
        <f>Table1[[#This Row],[Quarter]]&amp;" - "&amp;Table1[[#This Row],[City]]</f>
        <v>Q4 - Delhi</v>
      </c>
    </row>
    <row r="974" spans="1:19" x14ac:dyDescent="0.3">
      <c r="A974" t="s">
        <v>1046</v>
      </c>
      <c r="B974" s="1">
        <v>45647</v>
      </c>
      <c r="C974" t="s">
        <v>989</v>
      </c>
      <c r="D974" t="s">
        <v>800</v>
      </c>
      <c r="E974" t="s">
        <v>25</v>
      </c>
      <c r="F974" t="s">
        <v>47</v>
      </c>
      <c r="G974" t="s">
        <v>55</v>
      </c>
      <c r="H974">
        <v>11</v>
      </c>
      <c r="I974">
        <v>6260</v>
      </c>
      <c r="J974">
        <v>30</v>
      </c>
      <c r="K974">
        <v>48202</v>
      </c>
      <c r="L974" t="s">
        <v>28</v>
      </c>
      <c r="M974" s="2">
        <f>Table1[[#This Row],[Revenue_INR]]-Table1[[#This Row],[Price_INR]]</f>
        <v>41942</v>
      </c>
      <c r="N974">
        <f>YEAR(Table1[[#This Row],[Date]])</f>
        <v>2024</v>
      </c>
      <c r="O974" s="2">
        <f t="shared" si="60"/>
        <v>4382</v>
      </c>
      <c r="P974" s="7">
        <f t="shared" si="61"/>
        <v>87.012987012987011</v>
      </c>
      <c r="Q974" s="2">
        <f t="shared" si="62"/>
        <v>20658</v>
      </c>
      <c r="R974" s="5" t="str">
        <f t="shared" si="63"/>
        <v>Above Average</v>
      </c>
      <c r="S974" s="5" t="str">
        <f>Table1[[#This Row],[Quarter]]&amp;" - "&amp;Table1[[#This Row],[City]]</f>
        <v>Q4 - Hyderabad</v>
      </c>
    </row>
    <row r="975" spans="1:19" x14ac:dyDescent="0.3">
      <c r="A975" t="s">
        <v>1047</v>
      </c>
      <c r="B975" s="1">
        <v>45648</v>
      </c>
      <c r="C975" t="s">
        <v>989</v>
      </c>
      <c r="D975" t="s">
        <v>800</v>
      </c>
      <c r="E975" t="s">
        <v>20</v>
      </c>
      <c r="F975" t="s">
        <v>21</v>
      </c>
      <c r="G975" t="s">
        <v>22</v>
      </c>
      <c r="H975">
        <v>6</v>
      </c>
      <c r="I975">
        <v>1850</v>
      </c>
      <c r="J975">
        <v>25</v>
      </c>
      <c r="K975">
        <v>8325</v>
      </c>
      <c r="L975" t="s">
        <v>77</v>
      </c>
      <c r="M975" s="2">
        <f>Table1[[#This Row],[Revenue_INR]]-Table1[[#This Row],[Price_INR]]</f>
        <v>6475</v>
      </c>
      <c r="N975">
        <f>YEAR(Table1[[#This Row],[Date]])</f>
        <v>2024</v>
      </c>
      <c r="O975" s="2">
        <f t="shared" si="60"/>
        <v>1387.5</v>
      </c>
      <c r="P975" s="7">
        <f t="shared" si="61"/>
        <v>77.777777777777786</v>
      </c>
      <c r="Q975" s="2">
        <f t="shared" si="62"/>
        <v>2775</v>
      </c>
      <c r="R975" s="5" t="str">
        <f t="shared" si="63"/>
        <v>Below Average</v>
      </c>
      <c r="S975" s="5" t="str">
        <f>Table1[[#This Row],[Quarter]]&amp;" - "&amp;Table1[[#This Row],[City]]</f>
        <v>Q4 - Mumbai</v>
      </c>
    </row>
    <row r="976" spans="1:19" x14ac:dyDescent="0.3">
      <c r="A976" t="s">
        <v>1048</v>
      </c>
      <c r="B976" s="1">
        <v>45648</v>
      </c>
      <c r="C976" t="s">
        <v>989</v>
      </c>
      <c r="D976" t="s">
        <v>800</v>
      </c>
      <c r="E976" t="s">
        <v>20</v>
      </c>
      <c r="F976" t="s">
        <v>47</v>
      </c>
      <c r="G976" t="s">
        <v>55</v>
      </c>
      <c r="H976">
        <v>7</v>
      </c>
      <c r="I976">
        <v>4980</v>
      </c>
      <c r="J976">
        <v>15</v>
      </c>
      <c r="K976">
        <v>29631</v>
      </c>
      <c r="L976" t="s">
        <v>39</v>
      </c>
      <c r="M976" s="2">
        <f>Table1[[#This Row],[Revenue_INR]]-Table1[[#This Row],[Price_INR]]</f>
        <v>24651</v>
      </c>
      <c r="N976">
        <f>YEAR(Table1[[#This Row],[Date]])</f>
        <v>2024</v>
      </c>
      <c r="O976" s="2">
        <f t="shared" si="60"/>
        <v>4233</v>
      </c>
      <c r="P976" s="7">
        <f t="shared" si="61"/>
        <v>83.193277310924373</v>
      </c>
      <c r="Q976" s="2">
        <f t="shared" si="62"/>
        <v>5229</v>
      </c>
      <c r="R976" s="5" t="str">
        <f t="shared" si="63"/>
        <v>Above Average</v>
      </c>
      <c r="S976" s="5" t="str">
        <f>Table1[[#This Row],[Quarter]]&amp;" - "&amp;Table1[[#This Row],[City]]</f>
        <v>Q4 - Mumbai</v>
      </c>
    </row>
    <row r="977" spans="1:19" x14ac:dyDescent="0.3">
      <c r="A977" t="s">
        <v>1049</v>
      </c>
      <c r="B977" s="1">
        <v>45648</v>
      </c>
      <c r="C977" t="s">
        <v>989</v>
      </c>
      <c r="D977" t="s">
        <v>800</v>
      </c>
      <c r="E977" t="s">
        <v>25</v>
      </c>
      <c r="F977" t="s">
        <v>47</v>
      </c>
      <c r="G977" t="s">
        <v>102</v>
      </c>
      <c r="H977">
        <v>13</v>
      </c>
      <c r="I977">
        <v>4450</v>
      </c>
      <c r="J977">
        <v>25</v>
      </c>
      <c r="K977">
        <v>43387.5</v>
      </c>
      <c r="L977" t="s">
        <v>66</v>
      </c>
      <c r="M977" s="2">
        <f>Table1[[#This Row],[Revenue_INR]]-Table1[[#This Row],[Price_INR]]</f>
        <v>38937.5</v>
      </c>
      <c r="N977">
        <f>YEAR(Table1[[#This Row],[Date]])</f>
        <v>2024</v>
      </c>
      <c r="O977" s="2">
        <f t="shared" si="60"/>
        <v>3337.5</v>
      </c>
      <c r="P977" s="7">
        <f t="shared" si="61"/>
        <v>89.743589743589752</v>
      </c>
      <c r="Q977" s="2">
        <f t="shared" si="62"/>
        <v>14462.5</v>
      </c>
      <c r="R977" s="5" t="str">
        <f t="shared" si="63"/>
        <v>Above Average</v>
      </c>
      <c r="S977" s="5" t="str">
        <f>Table1[[#This Row],[Quarter]]&amp;" - "&amp;Table1[[#This Row],[City]]</f>
        <v>Q4 - Hyderabad</v>
      </c>
    </row>
    <row r="978" spans="1:19" x14ac:dyDescent="0.3">
      <c r="A978" t="s">
        <v>1050</v>
      </c>
      <c r="B978" s="1">
        <v>45649</v>
      </c>
      <c r="C978" t="s">
        <v>989</v>
      </c>
      <c r="D978" t="s">
        <v>800</v>
      </c>
      <c r="E978" t="s">
        <v>34</v>
      </c>
      <c r="F978" t="s">
        <v>26</v>
      </c>
      <c r="G978" t="s">
        <v>58</v>
      </c>
      <c r="H978">
        <v>3</v>
      </c>
      <c r="I978">
        <v>8660</v>
      </c>
      <c r="J978">
        <v>25</v>
      </c>
      <c r="K978">
        <v>19485</v>
      </c>
      <c r="L978" t="s">
        <v>36</v>
      </c>
      <c r="M978" s="2">
        <f>Table1[[#This Row],[Revenue_INR]]-Table1[[#This Row],[Price_INR]]</f>
        <v>10825</v>
      </c>
      <c r="N978">
        <f>YEAR(Table1[[#This Row],[Date]])</f>
        <v>2024</v>
      </c>
      <c r="O978" s="2">
        <f t="shared" si="60"/>
        <v>6495</v>
      </c>
      <c r="P978" s="7">
        <f t="shared" si="61"/>
        <v>55.555555555555557</v>
      </c>
      <c r="Q978" s="2">
        <f t="shared" si="62"/>
        <v>6495</v>
      </c>
      <c r="R978" s="5" t="str">
        <f t="shared" si="63"/>
        <v>Below Average</v>
      </c>
      <c r="S978" s="5" t="str">
        <f>Table1[[#This Row],[Quarter]]&amp;" - "&amp;Table1[[#This Row],[City]]</f>
        <v>Q4 - Delhi</v>
      </c>
    </row>
    <row r="979" spans="1:19" x14ac:dyDescent="0.3">
      <c r="A979" t="s">
        <v>1051</v>
      </c>
      <c r="B979" s="1">
        <v>45649</v>
      </c>
      <c r="C979" t="s">
        <v>989</v>
      </c>
      <c r="D979" t="s">
        <v>800</v>
      </c>
      <c r="E979" t="s">
        <v>25</v>
      </c>
      <c r="F979" t="s">
        <v>21</v>
      </c>
      <c r="G979" t="s">
        <v>22</v>
      </c>
      <c r="H979">
        <v>13</v>
      </c>
      <c r="I979">
        <v>2400</v>
      </c>
      <c r="J979">
        <v>25</v>
      </c>
      <c r="K979">
        <v>23400</v>
      </c>
      <c r="L979" t="s">
        <v>28</v>
      </c>
      <c r="M979" s="2">
        <f>Table1[[#This Row],[Revenue_INR]]-Table1[[#This Row],[Price_INR]]</f>
        <v>21000</v>
      </c>
      <c r="N979">
        <f>YEAR(Table1[[#This Row],[Date]])</f>
        <v>2024</v>
      </c>
      <c r="O979" s="2">
        <f t="shared" si="60"/>
        <v>1800</v>
      </c>
      <c r="P979" s="7">
        <f t="shared" si="61"/>
        <v>89.743589743589752</v>
      </c>
      <c r="Q979" s="2">
        <f t="shared" si="62"/>
        <v>7800</v>
      </c>
      <c r="R979" s="5" t="str">
        <f t="shared" si="63"/>
        <v>Below Average</v>
      </c>
      <c r="S979" s="5" t="str">
        <f>Table1[[#This Row],[Quarter]]&amp;" - "&amp;Table1[[#This Row],[City]]</f>
        <v>Q4 - Hyderabad</v>
      </c>
    </row>
    <row r="980" spans="1:19" x14ac:dyDescent="0.3">
      <c r="A980" t="s">
        <v>1052</v>
      </c>
      <c r="B980" s="1">
        <v>45649</v>
      </c>
      <c r="C980" t="s">
        <v>989</v>
      </c>
      <c r="D980" t="s">
        <v>800</v>
      </c>
      <c r="E980" t="s">
        <v>25</v>
      </c>
      <c r="F980" t="s">
        <v>31</v>
      </c>
      <c r="G980" t="s">
        <v>131</v>
      </c>
      <c r="H980">
        <v>9</v>
      </c>
      <c r="I980">
        <v>5870</v>
      </c>
      <c r="J980">
        <v>10</v>
      </c>
      <c r="K980">
        <v>47547</v>
      </c>
      <c r="L980" t="s">
        <v>42</v>
      </c>
      <c r="M980" s="2">
        <f>Table1[[#This Row],[Revenue_INR]]-Table1[[#This Row],[Price_INR]]</f>
        <v>41677</v>
      </c>
      <c r="N980">
        <f>YEAR(Table1[[#This Row],[Date]])</f>
        <v>2024</v>
      </c>
      <c r="O980" s="2">
        <f t="shared" si="60"/>
        <v>5283</v>
      </c>
      <c r="P980" s="7">
        <f t="shared" si="61"/>
        <v>87.654320987654316</v>
      </c>
      <c r="Q980" s="2">
        <f t="shared" si="62"/>
        <v>5283</v>
      </c>
      <c r="R980" s="5" t="str">
        <f t="shared" si="63"/>
        <v>Above Average</v>
      </c>
      <c r="S980" s="5" t="str">
        <f>Table1[[#This Row],[Quarter]]&amp;" - "&amp;Table1[[#This Row],[City]]</f>
        <v>Q4 - Hyderabad</v>
      </c>
    </row>
    <row r="981" spans="1:19" x14ac:dyDescent="0.3">
      <c r="A981" t="s">
        <v>1053</v>
      </c>
      <c r="B981" s="1">
        <v>45650</v>
      </c>
      <c r="C981" t="s">
        <v>989</v>
      </c>
      <c r="D981" t="s">
        <v>800</v>
      </c>
      <c r="E981" t="s">
        <v>34</v>
      </c>
      <c r="F981" t="s">
        <v>26</v>
      </c>
      <c r="G981" t="s">
        <v>58</v>
      </c>
      <c r="H981">
        <v>1</v>
      </c>
      <c r="I981">
        <v>12050</v>
      </c>
      <c r="J981">
        <v>30</v>
      </c>
      <c r="K981">
        <v>8435</v>
      </c>
      <c r="L981" t="s">
        <v>36</v>
      </c>
      <c r="M981" s="2">
        <f>Table1[[#This Row],[Revenue_INR]]-Table1[[#This Row],[Price_INR]]</f>
        <v>-3615</v>
      </c>
      <c r="N981">
        <f>YEAR(Table1[[#This Row],[Date]])</f>
        <v>2024</v>
      </c>
      <c r="O981" s="2">
        <f t="shared" si="60"/>
        <v>8435</v>
      </c>
      <c r="P981" s="7">
        <f t="shared" si="61"/>
        <v>-42.857142857142854</v>
      </c>
      <c r="Q981" s="2">
        <f t="shared" si="62"/>
        <v>3615</v>
      </c>
      <c r="R981" s="5" t="str">
        <f t="shared" si="63"/>
        <v>Below Average</v>
      </c>
      <c r="S981" s="5" t="str">
        <f>Table1[[#This Row],[Quarter]]&amp;" - "&amp;Table1[[#This Row],[City]]</f>
        <v>Q4 - Delhi</v>
      </c>
    </row>
    <row r="982" spans="1:19" x14ac:dyDescent="0.3">
      <c r="A982" t="s">
        <v>1054</v>
      </c>
      <c r="B982" s="1">
        <v>45650</v>
      </c>
      <c r="C982" t="s">
        <v>989</v>
      </c>
      <c r="D982" t="s">
        <v>800</v>
      </c>
      <c r="E982" t="s">
        <v>20</v>
      </c>
      <c r="F982" t="s">
        <v>60</v>
      </c>
      <c r="G982" t="s">
        <v>85</v>
      </c>
      <c r="H982">
        <v>9</v>
      </c>
      <c r="I982">
        <v>2300</v>
      </c>
      <c r="J982">
        <v>15</v>
      </c>
      <c r="K982">
        <v>17595</v>
      </c>
      <c r="L982" t="s">
        <v>23</v>
      </c>
      <c r="M982" s="2">
        <f>Table1[[#This Row],[Revenue_INR]]-Table1[[#This Row],[Price_INR]]</f>
        <v>15295</v>
      </c>
      <c r="N982">
        <f>YEAR(Table1[[#This Row],[Date]])</f>
        <v>2024</v>
      </c>
      <c r="O982" s="2">
        <f t="shared" si="60"/>
        <v>1955</v>
      </c>
      <c r="P982" s="7">
        <f t="shared" si="61"/>
        <v>86.928104575163403</v>
      </c>
      <c r="Q982" s="2">
        <f t="shared" si="62"/>
        <v>3105</v>
      </c>
      <c r="R982" s="5" t="str">
        <f t="shared" si="63"/>
        <v>Below Average</v>
      </c>
      <c r="S982" s="5" t="str">
        <f>Table1[[#This Row],[Quarter]]&amp;" - "&amp;Table1[[#This Row],[City]]</f>
        <v>Q4 - Mumbai</v>
      </c>
    </row>
    <row r="983" spans="1:19" x14ac:dyDescent="0.3">
      <c r="A983" t="s">
        <v>1055</v>
      </c>
      <c r="B983" s="1">
        <v>45651</v>
      </c>
      <c r="C983" t="s">
        <v>989</v>
      </c>
      <c r="D983" t="s">
        <v>800</v>
      </c>
      <c r="E983" t="s">
        <v>34</v>
      </c>
      <c r="F983" t="s">
        <v>16</v>
      </c>
      <c r="G983" t="s">
        <v>69</v>
      </c>
      <c r="H983">
        <v>11</v>
      </c>
      <c r="I983">
        <v>460</v>
      </c>
      <c r="J983">
        <v>5</v>
      </c>
      <c r="K983">
        <v>4807</v>
      </c>
      <c r="L983" t="s">
        <v>36</v>
      </c>
      <c r="M983" s="2">
        <f>Table1[[#This Row],[Revenue_INR]]-Table1[[#This Row],[Price_INR]]</f>
        <v>4347</v>
      </c>
      <c r="N983">
        <f>YEAR(Table1[[#This Row],[Date]])</f>
        <v>2024</v>
      </c>
      <c r="O983" s="2">
        <f t="shared" si="60"/>
        <v>437</v>
      </c>
      <c r="P983" s="7">
        <f t="shared" si="61"/>
        <v>90.430622009569376</v>
      </c>
      <c r="Q983" s="2">
        <f t="shared" si="62"/>
        <v>253</v>
      </c>
      <c r="R983" s="5" t="str">
        <f t="shared" si="63"/>
        <v>Below Average</v>
      </c>
      <c r="S983" s="5" t="str">
        <f>Table1[[#This Row],[Quarter]]&amp;" - "&amp;Table1[[#This Row],[City]]</f>
        <v>Q4 - Delhi</v>
      </c>
    </row>
    <row r="984" spans="1:19" x14ac:dyDescent="0.3">
      <c r="A984" t="s">
        <v>1056</v>
      </c>
      <c r="B984" s="1">
        <v>45651</v>
      </c>
      <c r="C984" t="s">
        <v>989</v>
      </c>
      <c r="D984" t="s">
        <v>800</v>
      </c>
      <c r="E984" t="s">
        <v>34</v>
      </c>
      <c r="F984" t="s">
        <v>60</v>
      </c>
      <c r="G984" t="s">
        <v>124</v>
      </c>
      <c r="H984">
        <v>4</v>
      </c>
      <c r="I984">
        <v>1800</v>
      </c>
      <c r="J984">
        <v>25</v>
      </c>
      <c r="K984">
        <v>5400</v>
      </c>
      <c r="L984" t="s">
        <v>45</v>
      </c>
      <c r="M984" s="2">
        <f>Table1[[#This Row],[Revenue_INR]]-Table1[[#This Row],[Price_INR]]</f>
        <v>3600</v>
      </c>
      <c r="N984">
        <f>YEAR(Table1[[#This Row],[Date]])</f>
        <v>2024</v>
      </c>
      <c r="O984" s="2">
        <f t="shared" si="60"/>
        <v>1350</v>
      </c>
      <c r="P984" s="7">
        <f t="shared" si="61"/>
        <v>66.666666666666657</v>
      </c>
      <c r="Q984" s="2">
        <f t="shared" si="62"/>
        <v>1800</v>
      </c>
      <c r="R984" s="5" t="str">
        <f t="shared" si="63"/>
        <v>Below Average</v>
      </c>
      <c r="S984" s="5" t="str">
        <f>Table1[[#This Row],[Quarter]]&amp;" - "&amp;Table1[[#This Row],[City]]</f>
        <v>Q4 - Delhi</v>
      </c>
    </row>
    <row r="985" spans="1:19" x14ac:dyDescent="0.3">
      <c r="A985" t="s">
        <v>1057</v>
      </c>
      <c r="B985" s="1">
        <v>45651</v>
      </c>
      <c r="C985" t="s">
        <v>989</v>
      </c>
      <c r="D985" t="s">
        <v>800</v>
      </c>
      <c r="E985" t="s">
        <v>34</v>
      </c>
      <c r="F985" t="s">
        <v>60</v>
      </c>
      <c r="G985" t="s">
        <v>99</v>
      </c>
      <c r="H985">
        <v>4</v>
      </c>
      <c r="I985">
        <v>2240</v>
      </c>
      <c r="J985">
        <v>15</v>
      </c>
      <c r="K985">
        <v>7616</v>
      </c>
      <c r="L985" t="s">
        <v>36</v>
      </c>
      <c r="M985" s="2">
        <f>Table1[[#This Row],[Revenue_INR]]-Table1[[#This Row],[Price_INR]]</f>
        <v>5376</v>
      </c>
      <c r="N985">
        <f>YEAR(Table1[[#This Row],[Date]])</f>
        <v>2024</v>
      </c>
      <c r="O985" s="2">
        <f t="shared" si="60"/>
        <v>1904</v>
      </c>
      <c r="P985" s="7">
        <f t="shared" si="61"/>
        <v>70.588235294117652</v>
      </c>
      <c r="Q985" s="2">
        <f t="shared" si="62"/>
        <v>1344</v>
      </c>
      <c r="R985" s="5" t="str">
        <f t="shared" si="63"/>
        <v>Below Average</v>
      </c>
      <c r="S985" s="5" t="str">
        <f>Table1[[#This Row],[Quarter]]&amp;" - "&amp;Table1[[#This Row],[City]]</f>
        <v>Q4 - Delhi</v>
      </c>
    </row>
    <row r="986" spans="1:19" x14ac:dyDescent="0.3">
      <c r="A986" t="s">
        <v>1058</v>
      </c>
      <c r="B986" s="1">
        <v>45652</v>
      </c>
      <c r="C986" t="s">
        <v>989</v>
      </c>
      <c r="D986" t="s">
        <v>800</v>
      </c>
      <c r="E986" t="s">
        <v>34</v>
      </c>
      <c r="F986" t="s">
        <v>60</v>
      </c>
      <c r="G986" t="s">
        <v>61</v>
      </c>
      <c r="H986">
        <v>11</v>
      </c>
      <c r="I986">
        <v>900</v>
      </c>
      <c r="J986">
        <v>10</v>
      </c>
      <c r="K986">
        <v>8910</v>
      </c>
      <c r="L986" t="s">
        <v>36</v>
      </c>
      <c r="M986" s="2">
        <f>Table1[[#This Row],[Revenue_INR]]-Table1[[#This Row],[Price_INR]]</f>
        <v>8010</v>
      </c>
      <c r="N986">
        <f>YEAR(Table1[[#This Row],[Date]])</f>
        <v>2024</v>
      </c>
      <c r="O986" s="2">
        <f t="shared" si="60"/>
        <v>810</v>
      </c>
      <c r="P986" s="7">
        <f t="shared" si="61"/>
        <v>89.898989898989896</v>
      </c>
      <c r="Q986" s="2">
        <f t="shared" si="62"/>
        <v>990</v>
      </c>
      <c r="R986" s="5" t="str">
        <f t="shared" si="63"/>
        <v>Below Average</v>
      </c>
      <c r="S986" s="5" t="str">
        <f>Table1[[#This Row],[Quarter]]&amp;" - "&amp;Table1[[#This Row],[City]]</f>
        <v>Q4 - Delhi</v>
      </c>
    </row>
    <row r="987" spans="1:19" x14ac:dyDescent="0.3">
      <c r="A987" t="s">
        <v>1059</v>
      </c>
      <c r="B987" s="1">
        <v>45652</v>
      </c>
      <c r="C987" t="s">
        <v>989</v>
      </c>
      <c r="D987" t="s">
        <v>800</v>
      </c>
      <c r="E987" t="s">
        <v>15</v>
      </c>
      <c r="F987" t="s">
        <v>47</v>
      </c>
      <c r="G987" t="s">
        <v>55</v>
      </c>
      <c r="H987">
        <v>4</v>
      </c>
      <c r="I987">
        <v>6930</v>
      </c>
      <c r="J987">
        <v>10</v>
      </c>
      <c r="K987">
        <v>24948</v>
      </c>
      <c r="L987" t="s">
        <v>92</v>
      </c>
      <c r="M987" s="2">
        <f>Table1[[#This Row],[Revenue_INR]]-Table1[[#This Row],[Price_INR]]</f>
        <v>18018</v>
      </c>
      <c r="N987">
        <f>YEAR(Table1[[#This Row],[Date]])</f>
        <v>2024</v>
      </c>
      <c r="O987" s="2">
        <f t="shared" si="60"/>
        <v>6237</v>
      </c>
      <c r="P987" s="7">
        <f t="shared" si="61"/>
        <v>72.222222222222214</v>
      </c>
      <c r="Q987" s="2">
        <f t="shared" si="62"/>
        <v>2772</v>
      </c>
      <c r="R987" s="5" t="str">
        <f t="shared" si="63"/>
        <v>Above Average</v>
      </c>
      <c r="S987" s="5" t="str">
        <f>Table1[[#This Row],[Quarter]]&amp;" - "&amp;Table1[[#This Row],[City]]</f>
        <v>Q4 - Kolkata</v>
      </c>
    </row>
    <row r="988" spans="1:19" x14ac:dyDescent="0.3">
      <c r="A988" t="s">
        <v>1060</v>
      </c>
      <c r="B988" s="1">
        <v>45652</v>
      </c>
      <c r="C988" t="s">
        <v>989</v>
      </c>
      <c r="D988" t="s">
        <v>800</v>
      </c>
      <c r="E988" t="s">
        <v>20</v>
      </c>
      <c r="F988" t="s">
        <v>26</v>
      </c>
      <c r="G988" t="s">
        <v>80</v>
      </c>
      <c r="H988">
        <v>10</v>
      </c>
      <c r="I988">
        <v>5390</v>
      </c>
      <c r="J988">
        <v>15</v>
      </c>
      <c r="K988">
        <v>45815</v>
      </c>
      <c r="L988" t="s">
        <v>39</v>
      </c>
      <c r="M988" s="2">
        <f>Table1[[#This Row],[Revenue_INR]]-Table1[[#This Row],[Price_INR]]</f>
        <v>40425</v>
      </c>
      <c r="N988">
        <f>YEAR(Table1[[#This Row],[Date]])</f>
        <v>2024</v>
      </c>
      <c r="O988" s="2">
        <f t="shared" si="60"/>
        <v>4581.5</v>
      </c>
      <c r="P988" s="7">
        <f t="shared" si="61"/>
        <v>88.235294117647058</v>
      </c>
      <c r="Q988" s="2">
        <f t="shared" si="62"/>
        <v>8085</v>
      </c>
      <c r="R988" s="5" t="str">
        <f t="shared" si="63"/>
        <v>Above Average</v>
      </c>
      <c r="S988" s="5" t="str">
        <f>Table1[[#This Row],[Quarter]]&amp;" - "&amp;Table1[[#This Row],[City]]</f>
        <v>Q4 - Mumbai</v>
      </c>
    </row>
    <row r="989" spans="1:19" x14ac:dyDescent="0.3">
      <c r="A989" t="s">
        <v>1061</v>
      </c>
      <c r="B989" s="1">
        <v>45652</v>
      </c>
      <c r="C989" t="s">
        <v>989</v>
      </c>
      <c r="D989" t="s">
        <v>800</v>
      </c>
      <c r="E989" t="s">
        <v>20</v>
      </c>
      <c r="F989" t="s">
        <v>21</v>
      </c>
      <c r="G989" t="s">
        <v>94</v>
      </c>
      <c r="H989">
        <v>5</v>
      </c>
      <c r="I989">
        <v>2280</v>
      </c>
      <c r="J989">
        <v>5</v>
      </c>
      <c r="K989">
        <v>10830</v>
      </c>
      <c r="L989" t="s">
        <v>23</v>
      </c>
      <c r="M989" s="2">
        <f>Table1[[#This Row],[Revenue_INR]]-Table1[[#This Row],[Price_INR]]</f>
        <v>8550</v>
      </c>
      <c r="N989">
        <f>YEAR(Table1[[#This Row],[Date]])</f>
        <v>2024</v>
      </c>
      <c r="O989" s="2">
        <f t="shared" si="60"/>
        <v>2166</v>
      </c>
      <c r="P989" s="7">
        <f t="shared" si="61"/>
        <v>78.94736842105263</v>
      </c>
      <c r="Q989" s="2">
        <f t="shared" si="62"/>
        <v>570</v>
      </c>
      <c r="R989" s="5" t="str">
        <f t="shared" si="63"/>
        <v>Below Average</v>
      </c>
      <c r="S989" s="5" t="str">
        <f>Table1[[#This Row],[Quarter]]&amp;" - "&amp;Table1[[#This Row],[City]]</f>
        <v>Q4 - Mumbai</v>
      </c>
    </row>
    <row r="990" spans="1:19" x14ac:dyDescent="0.3">
      <c r="A990" t="s">
        <v>1062</v>
      </c>
      <c r="B990" s="1">
        <v>45652</v>
      </c>
      <c r="C990" t="s">
        <v>989</v>
      </c>
      <c r="D990" t="s">
        <v>800</v>
      </c>
      <c r="E990" t="s">
        <v>34</v>
      </c>
      <c r="F990" t="s">
        <v>26</v>
      </c>
      <c r="G990" t="s">
        <v>27</v>
      </c>
      <c r="H990">
        <v>3</v>
      </c>
      <c r="I990">
        <v>8360</v>
      </c>
      <c r="J990">
        <v>10</v>
      </c>
      <c r="K990">
        <v>22572</v>
      </c>
      <c r="L990" t="s">
        <v>49</v>
      </c>
      <c r="M990" s="2">
        <f>Table1[[#This Row],[Revenue_INR]]-Table1[[#This Row],[Price_INR]]</f>
        <v>14212</v>
      </c>
      <c r="N990">
        <f>YEAR(Table1[[#This Row],[Date]])</f>
        <v>2024</v>
      </c>
      <c r="O990" s="2">
        <f t="shared" si="60"/>
        <v>7524</v>
      </c>
      <c r="P990" s="7">
        <f t="shared" si="61"/>
        <v>62.962962962962962</v>
      </c>
      <c r="Q990" s="2">
        <f t="shared" si="62"/>
        <v>2508</v>
      </c>
      <c r="R990" s="5" t="str">
        <f t="shared" si="63"/>
        <v>Below Average</v>
      </c>
      <c r="S990" s="5" t="str">
        <f>Table1[[#This Row],[Quarter]]&amp;" - "&amp;Table1[[#This Row],[City]]</f>
        <v>Q4 - Delhi</v>
      </c>
    </row>
    <row r="991" spans="1:19" x14ac:dyDescent="0.3">
      <c r="A991" t="s">
        <v>1063</v>
      </c>
      <c r="B991" s="1">
        <v>45653</v>
      </c>
      <c r="C991" t="s">
        <v>989</v>
      </c>
      <c r="D991" t="s">
        <v>800</v>
      </c>
      <c r="E991" t="s">
        <v>34</v>
      </c>
      <c r="F991" t="s">
        <v>31</v>
      </c>
      <c r="G991" t="s">
        <v>35</v>
      </c>
      <c r="H991">
        <v>14</v>
      </c>
      <c r="I991">
        <v>4090</v>
      </c>
      <c r="J991">
        <v>25</v>
      </c>
      <c r="K991">
        <v>42945</v>
      </c>
      <c r="L991" t="s">
        <v>49</v>
      </c>
      <c r="M991" s="2">
        <f>Table1[[#This Row],[Revenue_INR]]-Table1[[#This Row],[Price_INR]]</f>
        <v>38855</v>
      </c>
      <c r="N991">
        <f>YEAR(Table1[[#This Row],[Date]])</f>
        <v>2024</v>
      </c>
      <c r="O991" s="2">
        <f t="shared" si="60"/>
        <v>3067.5</v>
      </c>
      <c r="P991" s="7">
        <f t="shared" si="61"/>
        <v>90.476190476190482</v>
      </c>
      <c r="Q991" s="2">
        <f t="shared" si="62"/>
        <v>14315</v>
      </c>
      <c r="R991" s="5" t="str">
        <f t="shared" si="63"/>
        <v>Above Average</v>
      </c>
      <c r="S991" s="5" t="str">
        <f>Table1[[#This Row],[Quarter]]&amp;" - "&amp;Table1[[#This Row],[City]]</f>
        <v>Q4 - Delhi</v>
      </c>
    </row>
    <row r="992" spans="1:19" x14ac:dyDescent="0.3">
      <c r="A992" t="s">
        <v>1064</v>
      </c>
      <c r="B992" s="1">
        <v>45653</v>
      </c>
      <c r="C992" t="s">
        <v>989</v>
      </c>
      <c r="D992" t="s">
        <v>800</v>
      </c>
      <c r="E992" t="s">
        <v>20</v>
      </c>
      <c r="F992" t="s">
        <v>21</v>
      </c>
      <c r="G992" t="s">
        <v>22</v>
      </c>
      <c r="H992">
        <v>12</v>
      </c>
      <c r="I992">
        <v>1420</v>
      </c>
      <c r="J992">
        <v>5</v>
      </c>
      <c r="K992">
        <v>16188</v>
      </c>
      <c r="L992" t="s">
        <v>39</v>
      </c>
      <c r="M992" s="2">
        <f>Table1[[#This Row],[Revenue_INR]]-Table1[[#This Row],[Price_INR]]</f>
        <v>14768</v>
      </c>
      <c r="N992">
        <f>YEAR(Table1[[#This Row],[Date]])</f>
        <v>2024</v>
      </c>
      <c r="O992" s="2">
        <f t="shared" si="60"/>
        <v>1349</v>
      </c>
      <c r="P992" s="7">
        <f t="shared" si="61"/>
        <v>91.228070175438589</v>
      </c>
      <c r="Q992" s="2">
        <f t="shared" si="62"/>
        <v>852</v>
      </c>
      <c r="R992" s="5" t="str">
        <f t="shared" si="63"/>
        <v>Below Average</v>
      </c>
      <c r="S992" s="5" t="str">
        <f>Table1[[#This Row],[Quarter]]&amp;" - "&amp;Table1[[#This Row],[City]]</f>
        <v>Q4 - Mumbai</v>
      </c>
    </row>
    <row r="993" spans="1:19" x14ac:dyDescent="0.3">
      <c r="A993" t="s">
        <v>1065</v>
      </c>
      <c r="B993" s="1">
        <v>45653</v>
      </c>
      <c r="C993" t="s">
        <v>989</v>
      </c>
      <c r="D993" t="s">
        <v>800</v>
      </c>
      <c r="E993" t="s">
        <v>15</v>
      </c>
      <c r="F993" t="s">
        <v>21</v>
      </c>
      <c r="G993" t="s">
        <v>75</v>
      </c>
      <c r="H993">
        <v>13</v>
      </c>
      <c r="I993">
        <v>3130</v>
      </c>
      <c r="J993">
        <v>10</v>
      </c>
      <c r="K993">
        <v>36621</v>
      </c>
      <c r="L993" t="s">
        <v>53</v>
      </c>
      <c r="M993" s="2">
        <f>Table1[[#This Row],[Revenue_INR]]-Table1[[#This Row],[Price_INR]]</f>
        <v>33491</v>
      </c>
      <c r="N993">
        <f>YEAR(Table1[[#This Row],[Date]])</f>
        <v>2024</v>
      </c>
      <c r="O993" s="2">
        <f t="shared" si="60"/>
        <v>2817</v>
      </c>
      <c r="P993" s="7">
        <f t="shared" si="61"/>
        <v>91.452991452991455</v>
      </c>
      <c r="Q993" s="2">
        <f t="shared" si="62"/>
        <v>4069</v>
      </c>
      <c r="R993" s="5" t="str">
        <f t="shared" si="63"/>
        <v>Above Average</v>
      </c>
      <c r="S993" s="5" t="str">
        <f>Table1[[#This Row],[Quarter]]&amp;" - "&amp;Table1[[#This Row],[City]]</f>
        <v>Q4 - Kolkata</v>
      </c>
    </row>
    <row r="994" spans="1:19" x14ac:dyDescent="0.3">
      <c r="A994" t="s">
        <v>1066</v>
      </c>
      <c r="B994" s="1">
        <v>45653</v>
      </c>
      <c r="C994" t="s">
        <v>989</v>
      </c>
      <c r="D994" t="s">
        <v>800</v>
      </c>
      <c r="E994" t="s">
        <v>15</v>
      </c>
      <c r="F994" t="s">
        <v>16</v>
      </c>
      <c r="G994" t="s">
        <v>41</v>
      </c>
      <c r="H994">
        <v>4</v>
      </c>
      <c r="I994">
        <v>1090</v>
      </c>
      <c r="J994">
        <v>10</v>
      </c>
      <c r="K994">
        <v>3924</v>
      </c>
      <c r="L994" t="s">
        <v>53</v>
      </c>
      <c r="M994" s="2">
        <f>Table1[[#This Row],[Revenue_INR]]-Table1[[#This Row],[Price_INR]]</f>
        <v>2834</v>
      </c>
      <c r="N994">
        <f>YEAR(Table1[[#This Row],[Date]])</f>
        <v>2024</v>
      </c>
      <c r="O994" s="2">
        <f t="shared" si="60"/>
        <v>981</v>
      </c>
      <c r="P994" s="7">
        <f t="shared" si="61"/>
        <v>72.222222222222214</v>
      </c>
      <c r="Q994" s="2">
        <f t="shared" si="62"/>
        <v>436</v>
      </c>
      <c r="R994" s="5" t="str">
        <f t="shared" si="63"/>
        <v>Below Average</v>
      </c>
      <c r="S994" s="5" t="str">
        <f>Table1[[#This Row],[Quarter]]&amp;" - "&amp;Table1[[#This Row],[City]]</f>
        <v>Q4 - Kolkata</v>
      </c>
    </row>
    <row r="995" spans="1:19" x14ac:dyDescent="0.3">
      <c r="A995" t="s">
        <v>1067</v>
      </c>
      <c r="B995" s="1">
        <v>45654</v>
      </c>
      <c r="C995" t="s">
        <v>989</v>
      </c>
      <c r="D995" t="s">
        <v>800</v>
      </c>
      <c r="E995" t="s">
        <v>20</v>
      </c>
      <c r="F995" t="s">
        <v>47</v>
      </c>
      <c r="G995" t="s">
        <v>51</v>
      </c>
      <c r="H995">
        <v>4</v>
      </c>
      <c r="I995">
        <v>7900</v>
      </c>
      <c r="J995">
        <v>0</v>
      </c>
      <c r="K995">
        <v>31600</v>
      </c>
      <c r="L995" t="s">
        <v>39</v>
      </c>
      <c r="M995" s="2">
        <f>Table1[[#This Row],[Revenue_INR]]-Table1[[#This Row],[Price_INR]]</f>
        <v>23700</v>
      </c>
      <c r="N995">
        <f>YEAR(Table1[[#This Row],[Date]])</f>
        <v>2024</v>
      </c>
      <c r="O995" s="2">
        <f t="shared" si="60"/>
        <v>7900</v>
      </c>
      <c r="P995" s="7">
        <f t="shared" si="61"/>
        <v>75</v>
      </c>
      <c r="Q995" s="2">
        <f t="shared" si="62"/>
        <v>0</v>
      </c>
      <c r="R995" s="5" t="str">
        <f t="shared" si="63"/>
        <v>Above Average</v>
      </c>
      <c r="S995" s="5" t="str">
        <f>Table1[[#This Row],[Quarter]]&amp;" - "&amp;Table1[[#This Row],[City]]</f>
        <v>Q4 - Mumbai</v>
      </c>
    </row>
    <row r="996" spans="1:19" x14ac:dyDescent="0.3">
      <c r="A996" t="s">
        <v>1068</v>
      </c>
      <c r="B996" s="1">
        <v>45654</v>
      </c>
      <c r="C996" t="s">
        <v>989</v>
      </c>
      <c r="D996" t="s">
        <v>800</v>
      </c>
      <c r="E996" t="s">
        <v>25</v>
      </c>
      <c r="F996" t="s">
        <v>26</v>
      </c>
      <c r="G996" t="s">
        <v>58</v>
      </c>
      <c r="H996">
        <v>4</v>
      </c>
      <c r="I996">
        <v>4270</v>
      </c>
      <c r="J996">
        <v>10</v>
      </c>
      <c r="K996">
        <v>15372</v>
      </c>
      <c r="L996" t="s">
        <v>42</v>
      </c>
      <c r="M996" s="2">
        <f>Table1[[#This Row],[Revenue_INR]]-Table1[[#This Row],[Price_INR]]</f>
        <v>11102</v>
      </c>
      <c r="N996">
        <f>YEAR(Table1[[#This Row],[Date]])</f>
        <v>2024</v>
      </c>
      <c r="O996" s="2">
        <f t="shared" si="60"/>
        <v>3843</v>
      </c>
      <c r="P996" s="7">
        <f t="shared" si="61"/>
        <v>72.222222222222214</v>
      </c>
      <c r="Q996" s="2">
        <f t="shared" si="62"/>
        <v>1708</v>
      </c>
      <c r="R996" s="5" t="str">
        <f t="shared" si="63"/>
        <v>Below Average</v>
      </c>
      <c r="S996" s="5" t="str">
        <f>Table1[[#This Row],[Quarter]]&amp;" - "&amp;Table1[[#This Row],[City]]</f>
        <v>Q4 - Hyderabad</v>
      </c>
    </row>
    <row r="997" spans="1:19" x14ac:dyDescent="0.3">
      <c r="A997" t="s">
        <v>1069</v>
      </c>
      <c r="B997" s="1">
        <v>45656</v>
      </c>
      <c r="C997" t="s">
        <v>989</v>
      </c>
      <c r="D997" t="s">
        <v>800</v>
      </c>
      <c r="E997" t="s">
        <v>25</v>
      </c>
      <c r="F997" t="s">
        <v>47</v>
      </c>
      <c r="G997" t="s">
        <v>55</v>
      </c>
      <c r="H997">
        <v>12</v>
      </c>
      <c r="I997">
        <v>3750</v>
      </c>
      <c r="J997">
        <v>25</v>
      </c>
      <c r="K997">
        <v>33750</v>
      </c>
      <c r="L997" t="s">
        <v>42</v>
      </c>
      <c r="M997" s="2">
        <f>Table1[[#This Row],[Revenue_INR]]-Table1[[#This Row],[Price_INR]]</f>
        <v>30000</v>
      </c>
      <c r="N997">
        <f>YEAR(Table1[[#This Row],[Date]])</f>
        <v>2024</v>
      </c>
      <c r="O997" s="2">
        <f t="shared" si="60"/>
        <v>2812.5</v>
      </c>
      <c r="P997" s="7">
        <f t="shared" si="61"/>
        <v>88.888888888888886</v>
      </c>
      <c r="Q997" s="2">
        <f t="shared" si="62"/>
        <v>11250</v>
      </c>
      <c r="R997" s="5" t="str">
        <f t="shared" si="63"/>
        <v>Above Average</v>
      </c>
      <c r="S997" s="5" t="str">
        <f>Table1[[#This Row],[Quarter]]&amp;" - "&amp;Table1[[#This Row],[City]]</f>
        <v>Q4 - Hyderabad</v>
      </c>
    </row>
    <row r="998" spans="1:19" x14ac:dyDescent="0.3">
      <c r="A998" t="s">
        <v>1070</v>
      </c>
      <c r="B998" s="1">
        <v>45656</v>
      </c>
      <c r="C998" t="s">
        <v>989</v>
      </c>
      <c r="D998" t="s">
        <v>800</v>
      </c>
      <c r="E998" t="s">
        <v>34</v>
      </c>
      <c r="F998" t="s">
        <v>31</v>
      </c>
      <c r="G998" t="s">
        <v>35</v>
      </c>
      <c r="H998">
        <v>10</v>
      </c>
      <c r="I998">
        <v>5780</v>
      </c>
      <c r="J998">
        <v>5</v>
      </c>
      <c r="K998">
        <v>54910</v>
      </c>
      <c r="L998" t="s">
        <v>36</v>
      </c>
      <c r="M998" s="2">
        <f>Table1[[#This Row],[Revenue_INR]]-Table1[[#This Row],[Price_INR]]</f>
        <v>49130</v>
      </c>
      <c r="N998">
        <f>YEAR(Table1[[#This Row],[Date]])</f>
        <v>2024</v>
      </c>
      <c r="O998" s="2">
        <f t="shared" si="60"/>
        <v>5491</v>
      </c>
      <c r="P998" s="7">
        <f t="shared" si="61"/>
        <v>89.473684210526315</v>
      </c>
      <c r="Q998" s="2">
        <f t="shared" si="62"/>
        <v>2890</v>
      </c>
      <c r="R998" s="5" t="str">
        <f t="shared" si="63"/>
        <v>Above Average</v>
      </c>
      <c r="S998" s="5" t="str">
        <f>Table1[[#This Row],[Quarter]]&amp;" - "&amp;Table1[[#This Row],[City]]</f>
        <v>Q4 - Delhi</v>
      </c>
    </row>
    <row r="999" spans="1:19" x14ac:dyDescent="0.3">
      <c r="A999" t="s">
        <v>1071</v>
      </c>
      <c r="B999" s="1">
        <v>45656</v>
      </c>
      <c r="C999" t="s">
        <v>989</v>
      </c>
      <c r="D999" t="s">
        <v>800</v>
      </c>
      <c r="E999" t="s">
        <v>25</v>
      </c>
      <c r="F999" t="s">
        <v>26</v>
      </c>
      <c r="G999" t="s">
        <v>82</v>
      </c>
      <c r="H999">
        <v>1</v>
      </c>
      <c r="I999">
        <v>6330</v>
      </c>
      <c r="J999">
        <v>5</v>
      </c>
      <c r="K999">
        <v>6013.5</v>
      </c>
      <c r="L999" t="s">
        <v>28</v>
      </c>
      <c r="M999" s="2">
        <f>Table1[[#This Row],[Revenue_INR]]-Table1[[#This Row],[Price_INR]]</f>
        <v>-316.5</v>
      </c>
      <c r="N999">
        <f>YEAR(Table1[[#This Row],[Date]])</f>
        <v>2024</v>
      </c>
      <c r="O999" s="2">
        <f t="shared" si="60"/>
        <v>6013.5</v>
      </c>
      <c r="P999" s="7">
        <f t="shared" si="61"/>
        <v>-5.2631578947368416</v>
      </c>
      <c r="Q999" s="2">
        <f t="shared" si="62"/>
        <v>316.5</v>
      </c>
      <c r="R999" s="5" t="str">
        <f t="shared" si="63"/>
        <v>Below Average</v>
      </c>
      <c r="S999" s="5" t="str">
        <f>Table1[[#This Row],[Quarter]]&amp;" - "&amp;Table1[[#This Row],[City]]</f>
        <v>Q4 - Hyderabad</v>
      </c>
    </row>
    <row r="1000" spans="1:19" x14ac:dyDescent="0.3">
      <c r="A1000" t="s">
        <v>1072</v>
      </c>
      <c r="B1000" s="1">
        <v>45656</v>
      </c>
      <c r="C1000" t="s">
        <v>989</v>
      </c>
      <c r="D1000" t="s">
        <v>800</v>
      </c>
      <c r="E1000" t="s">
        <v>20</v>
      </c>
      <c r="F1000" t="s">
        <v>21</v>
      </c>
      <c r="G1000" t="s">
        <v>94</v>
      </c>
      <c r="H1000">
        <v>10</v>
      </c>
      <c r="I1000">
        <v>2480</v>
      </c>
      <c r="J1000">
        <v>20</v>
      </c>
      <c r="K1000">
        <v>19840</v>
      </c>
      <c r="L1000" t="s">
        <v>23</v>
      </c>
      <c r="M1000" s="2">
        <f>Table1[[#This Row],[Revenue_INR]]-Table1[[#This Row],[Price_INR]]</f>
        <v>17360</v>
      </c>
      <c r="N1000">
        <f>YEAR(Table1[[#This Row],[Date]])</f>
        <v>2024</v>
      </c>
      <c r="O1000" s="2">
        <f t="shared" si="60"/>
        <v>1984</v>
      </c>
      <c r="P1000" s="7">
        <f t="shared" si="61"/>
        <v>87.5</v>
      </c>
      <c r="Q1000" s="2">
        <f t="shared" si="62"/>
        <v>4960</v>
      </c>
      <c r="R1000" s="5" t="str">
        <f t="shared" si="63"/>
        <v>Below Average</v>
      </c>
      <c r="S1000" s="5" t="str">
        <f>Table1[[#This Row],[Quarter]]&amp;" - "&amp;Table1[[#This Row],[City]]</f>
        <v>Q4 - Mumbai</v>
      </c>
    </row>
    <row r="1001" spans="1:19" x14ac:dyDescent="0.3">
      <c r="A1001" t="s">
        <v>1073</v>
      </c>
      <c r="B1001" s="1">
        <v>45656</v>
      </c>
      <c r="C1001" t="s">
        <v>989</v>
      </c>
      <c r="D1001" t="s">
        <v>800</v>
      </c>
      <c r="E1001" t="s">
        <v>20</v>
      </c>
      <c r="F1001" t="s">
        <v>21</v>
      </c>
      <c r="G1001" t="s">
        <v>22</v>
      </c>
      <c r="H1001">
        <v>8</v>
      </c>
      <c r="I1001">
        <v>2150</v>
      </c>
      <c r="J1001">
        <v>20</v>
      </c>
      <c r="K1001">
        <v>13760</v>
      </c>
      <c r="L1001" t="s">
        <v>39</v>
      </c>
      <c r="M1001" s="2">
        <f>Table1[[#This Row],[Revenue_INR]]-Table1[[#This Row],[Price_INR]]</f>
        <v>11610</v>
      </c>
      <c r="N1001">
        <f>YEAR(Table1[[#This Row],[Date]])</f>
        <v>2024</v>
      </c>
      <c r="O1001" s="2">
        <f t="shared" si="60"/>
        <v>1720</v>
      </c>
      <c r="P1001" s="7">
        <f t="shared" si="61"/>
        <v>84.375</v>
      </c>
      <c r="Q1001" s="2">
        <f t="shared" si="62"/>
        <v>3440</v>
      </c>
      <c r="R1001" s="5" t="str">
        <f t="shared" si="63"/>
        <v>Below Average</v>
      </c>
      <c r="S1001" s="5" t="str">
        <f>Table1[[#This Row],[Quarter]]&amp;" - "&amp;Table1[[#This Row],[City]]</f>
        <v>Q4 - Mumbai</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E74A9-D3DD-422E-BB89-20AB04809778}">
  <dimension ref="A1:U24"/>
  <sheetViews>
    <sheetView tabSelected="1" workbookViewId="0">
      <selection activeCell="R11" sqref="R11"/>
    </sheetView>
  </sheetViews>
  <sheetFormatPr defaultRowHeight="14.4" x14ac:dyDescent="0.3"/>
  <cols>
    <col min="8" max="8" width="18" bestFit="1" customWidth="1"/>
  </cols>
  <sheetData>
    <row r="1" spans="1:21" ht="36.6" x14ac:dyDescent="0.7">
      <c r="A1" s="9" t="s">
        <v>1088</v>
      </c>
      <c r="B1" s="8"/>
      <c r="C1" s="8"/>
      <c r="D1" s="8"/>
      <c r="E1" s="8"/>
      <c r="F1" s="8"/>
      <c r="G1" s="8"/>
      <c r="H1" s="8"/>
      <c r="I1" s="8"/>
      <c r="J1" s="8"/>
      <c r="K1" s="8"/>
      <c r="L1" s="8"/>
      <c r="M1" s="8"/>
      <c r="N1" s="8"/>
      <c r="O1" s="8"/>
      <c r="P1" s="8"/>
      <c r="Q1" s="8"/>
      <c r="R1" s="8"/>
      <c r="S1" s="8"/>
      <c r="T1" s="8"/>
      <c r="U1" s="8"/>
    </row>
    <row r="5" spans="1:21" x14ac:dyDescent="0.3">
      <c r="H5" s="2"/>
    </row>
    <row r="24" spans="8:8" x14ac:dyDescent="0.3">
      <c r="H24" s="2"/>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CFB1-E644-4FD2-A2F8-6120F650B0EB}">
  <dimension ref="A3:B8"/>
  <sheetViews>
    <sheetView workbookViewId="0">
      <selection activeCell="O3" sqref="O3"/>
    </sheetView>
  </sheetViews>
  <sheetFormatPr defaultRowHeight="14.4" x14ac:dyDescent="0.3"/>
  <cols>
    <col min="1" max="1" width="12.5546875" bestFit="1" customWidth="1"/>
    <col min="2" max="2" width="19" bestFit="1" customWidth="1"/>
  </cols>
  <sheetData>
    <row r="3" spans="1:2" x14ac:dyDescent="0.3">
      <c r="A3" s="3" t="s">
        <v>1076</v>
      </c>
      <c r="B3" t="s">
        <v>1078</v>
      </c>
    </row>
    <row r="4" spans="1:2" x14ac:dyDescent="0.3">
      <c r="A4" s="4" t="s">
        <v>20</v>
      </c>
      <c r="B4" s="5">
        <v>6744889.5</v>
      </c>
    </row>
    <row r="5" spans="1:2" x14ac:dyDescent="0.3">
      <c r="A5" s="4" t="s">
        <v>25</v>
      </c>
      <c r="B5" s="5">
        <v>6125608</v>
      </c>
    </row>
    <row r="6" spans="1:2" x14ac:dyDescent="0.3">
      <c r="A6" s="4" t="s">
        <v>15</v>
      </c>
      <c r="B6" s="5">
        <v>5846295.5</v>
      </c>
    </row>
    <row r="7" spans="1:2" x14ac:dyDescent="0.3">
      <c r="A7" s="4" t="s">
        <v>34</v>
      </c>
      <c r="B7" s="5">
        <v>5714224</v>
      </c>
    </row>
    <row r="8" spans="1:2" x14ac:dyDescent="0.3">
      <c r="A8" s="4" t="s">
        <v>1077</v>
      </c>
      <c r="B8" s="5">
        <v>24431017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C757-A45F-4BC0-B328-7D15EC788E62}">
  <dimension ref="A3:C16"/>
  <sheetViews>
    <sheetView workbookViewId="0">
      <selection activeCell="M2" sqref="M2"/>
    </sheetView>
  </sheetViews>
  <sheetFormatPr defaultRowHeight="14.4" x14ac:dyDescent="0.3"/>
  <cols>
    <col min="1" max="1" width="12.5546875" bestFit="1" customWidth="1"/>
    <col min="2" max="2" width="16" bestFit="1" customWidth="1"/>
    <col min="3" max="3" width="19" bestFit="1" customWidth="1"/>
  </cols>
  <sheetData>
    <row r="3" spans="1:3" x14ac:dyDescent="0.3">
      <c r="A3" s="3" t="s">
        <v>1076</v>
      </c>
      <c r="B3" t="s">
        <v>1080</v>
      </c>
      <c r="C3" t="s">
        <v>1078</v>
      </c>
    </row>
    <row r="4" spans="1:3" x14ac:dyDescent="0.3">
      <c r="A4" s="4" t="s">
        <v>13</v>
      </c>
      <c r="B4" s="5">
        <v>149776</v>
      </c>
      <c r="C4" s="5">
        <v>1652583</v>
      </c>
    </row>
    <row r="5" spans="1:3" x14ac:dyDescent="0.3">
      <c r="A5" s="4" t="s">
        <v>135</v>
      </c>
      <c r="B5" s="5">
        <v>176088</v>
      </c>
      <c r="C5" s="5">
        <v>2164210</v>
      </c>
    </row>
    <row r="6" spans="1:3" x14ac:dyDescent="0.3">
      <c r="A6" s="4" t="s">
        <v>223</v>
      </c>
      <c r="B6" s="5">
        <v>172040</v>
      </c>
      <c r="C6" s="5">
        <v>1747219.5</v>
      </c>
    </row>
    <row r="7" spans="1:3" x14ac:dyDescent="0.3">
      <c r="A7" s="4" t="s">
        <v>309</v>
      </c>
      <c r="B7" s="5">
        <v>105248</v>
      </c>
      <c r="C7" s="5">
        <v>1267950</v>
      </c>
    </row>
    <row r="8" spans="1:3" x14ac:dyDescent="0.3">
      <c r="A8" s="4" t="s">
        <v>363</v>
      </c>
      <c r="B8" s="5">
        <v>167992</v>
      </c>
      <c r="C8" s="5">
        <v>1955297</v>
      </c>
    </row>
    <row r="9" spans="1:3" x14ac:dyDescent="0.3">
      <c r="A9" s="4" t="s">
        <v>447</v>
      </c>
      <c r="B9" s="5">
        <v>198352</v>
      </c>
      <c r="C9" s="5">
        <v>2671853.5</v>
      </c>
    </row>
    <row r="10" spans="1:3" x14ac:dyDescent="0.3">
      <c r="A10" s="4" t="s">
        <v>546</v>
      </c>
      <c r="B10" s="5">
        <v>165968</v>
      </c>
      <c r="C10" s="5">
        <v>1807900.5</v>
      </c>
    </row>
    <row r="11" spans="1:3" x14ac:dyDescent="0.3">
      <c r="A11" s="4" t="s">
        <v>630</v>
      </c>
      <c r="B11" s="5">
        <v>180136</v>
      </c>
      <c r="C11" s="5">
        <v>2649149.5</v>
      </c>
    </row>
    <row r="12" spans="1:3" x14ac:dyDescent="0.3">
      <c r="A12" s="4" t="s">
        <v>720</v>
      </c>
      <c r="B12" s="5">
        <v>157872</v>
      </c>
      <c r="C12" s="5">
        <v>1871706.5</v>
      </c>
    </row>
    <row r="13" spans="1:3" x14ac:dyDescent="0.3">
      <c r="A13" s="4" t="s">
        <v>799</v>
      </c>
      <c r="B13" s="5">
        <v>192280</v>
      </c>
      <c r="C13" s="5">
        <v>2482763</v>
      </c>
    </row>
    <row r="14" spans="1:3" x14ac:dyDescent="0.3">
      <c r="A14" s="4" t="s">
        <v>896</v>
      </c>
      <c r="B14" s="5">
        <v>186208</v>
      </c>
      <c r="C14" s="5">
        <v>2404902.5</v>
      </c>
    </row>
    <row r="15" spans="1:3" x14ac:dyDescent="0.3">
      <c r="A15" s="4" t="s">
        <v>989</v>
      </c>
      <c r="B15" s="5">
        <v>172040</v>
      </c>
      <c r="C15" s="5">
        <v>1755482</v>
      </c>
    </row>
    <row r="16" spans="1:3" x14ac:dyDescent="0.3">
      <c r="A16" s="4" t="s">
        <v>1077</v>
      </c>
      <c r="B16" s="5">
        <v>2024000</v>
      </c>
      <c r="C16" s="5">
        <v>24431017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6D18-3D5B-408F-9240-8EA91AC134A3}">
  <dimension ref="A3:D16"/>
  <sheetViews>
    <sheetView workbookViewId="0">
      <selection activeCell="D25" sqref="D25"/>
    </sheetView>
  </sheetViews>
  <sheetFormatPr defaultRowHeight="14.4" x14ac:dyDescent="0.3"/>
  <cols>
    <col min="1" max="1" width="14.33203125" bestFit="1" customWidth="1"/>
    <col min="2" max="2" width="19" bestFit="1" customWidth="1"/>
    <col min="3" max="3" width="14.77734375" bestFit="1" customWidth="1"/>
    <col min="4" max="4" width="16.5546875" bestFit="1" customWidth="1"/>
  </cols>
  <sheetData>
    <row r="3" spans="1:4" x14ac:dyDescent="0.3">
      <c r="A3" s="3" t="s">
        <v>1076</v>
      </c>
      <c r="B3" t="s">
        <v>1078</v>
      </c>
      <c r="C3" t="s">
        <v>1086</v>
      </c>
      <c r="D3" t="s">
        <v>1087</v>
      </c>
    </row>
    <row r="4" spans="1:4" x14ac:dyDescent="0.3">
      <c r="A4" s="4" t="s">
        <v>77</v>
      </c>
      <c r="B4" s="5">
        <v>2113226.5</v>
      </c>
      <c r="C4" s="2">
        <v>1801486.5</v>
      </c>
      <c r="D4" s="5">
        <v>776</v>
      </c>
    </row>
    <row r="5" spans="1:4" x14ac:dyDescent="0.3">
      <c r="A5" s="4" t="s">
        <v>28</v>
      </c>
      <c r="B5" s="5">
        <v>1816285</v>
      </c>
      <c r="C5" s="2">
        <v>1548515</v>
      </c>
      <c r="D5" s="5">
        <v>729</v>
      </c>
    </row>
    <row r="6" spans="1:4" x14ac:dyDescent="0.3">
      <c r="A6" s="4" t="s">
        <v>18</v>
      </c>
      <c r="B6" s="5">
        <v>1849000</v>
      </c>
      <c r="C6" s="2">
        <v>1569890</v>
      </c>
      <c r="D6" s="5">
        <v>680</v>
      </c>
    </row>
    <row r="7" spans="1:4" x14ac:dyDescent="0.3">
      <c r="A7" s="4" t="s">
        <v>92</v>
      </c>
      <c r="B7" s="5">
        <v>1801794</v>
      </c>
      <c r="C7" s="2">
        <v>1551924</v>
      </c>
      <c r="D7" s="5">
        <v>694</v>
      </c>
    </row>
    <row r="8" spans="1:4" x14ac:dyDescent="0.3">
      <c r="A8" s="4" t="s">
        <v>36</v>
      </c>
      <c r="B8" s="5">
        <v>1759683</v>
      </c>
      <c r="C8" s="2">
        <v>1505063</v>
      </c>
      <c r="D8" s="5">
        <v>676</v>
      </c>
    </row>
    <row r="9" spans="1:4" x14ac:dyDescent="0.3">
      <c r="A9" s="4" t="s">
        <v>45</v>
      </c>
      <c r="B9" s="5">
        <v>2269365</v>
      </c>
      <c r="C9" s="2">
        <v>1959645</v>
      </c>
      <c r="D9" s="5">
        <v>730</v>
      </c>
    </row>
    <row r="10" spans="1:4" x14ac:dyDescent="0.3">
      <c r="A10" s="4" t="s">
        <v>23</v>
      </c>
      <c r="B10" s="5">
        <v>2119333.5</v>
      </c>
      <c r="C10" s="2">
        <v>1804713.5</v>
      </c>
      <c r="D10" s="5">
        <v>688</v>
      </c>
    </row>
    <row r="11" spans="1:4" x14ac:dyDescent="0.3">
      <c r="A11" s="4" t="s">
        <v>39</v>
      </c>
      <c r="B11" s="5">
        <v>2512329.5</v>
      </c>
      <c r="C11" s="2">
        <v>2141789.5</v>
      </c>
      <c r="D11" s="5">
        <v>795</v>
      </c>
    </row>
    <row r="12" spans="1:4" x14ac:dyDescent="0.3">
      <c r="A12" s="4" t="s">
        <v>49</v>
      </c>
      <c r="B12" s="5">
        <v>1685176</v>
      </c>
      <c r="C12" s="2">
        <v>1415186</v>
      </c>
      <c r="D12" s="5">
        <v>568</v>
      </c>
    </row>
    <row r="13" spans="1:4" x14ac:dyDescent="0.3">
      <c r="A13" s="4" t="s">
        <v>53</v>
      </c>
      <c r="B13" s="5">
        <v>2195501.5</v>
      </c>
      <c r="C13" s="2">
        <v>1904171.5</v>
      </c>
      <c r="D13" s="5">
        <v>657</v>
      </c>
    </row>
    <row r="14" spans="1:4" x14ac:dyDescent="0.3">
      <c r="A14" s="4" t="s">
        <v>66</v>
      </c>
      <c r="B14" s="5">
        <v>2204932.5</v>
      </c>
      <c r="C14" s="2">
        <v>1877092.5</v>
      </c>
      <c r="D14" s="5">
        <v>640</v>
      </c>
    </row>
    <row r="15" spans="1:4" x14ac:dyDescent="0.3">
      <c r="A15" s="4" t="s">
        <v>42</v>
      </c>
      <c r="B15" s="5">
        <v>2104390.5</v>
      </c>
      <c r="C15" s="2">
        <v>1818730.5</v>
      </c>
      <c r="D15" s="5">
        <v>701</v>
      </c>
    </row>
    <row r="16" spans="1:4" x14ac:dyDescent="0.3">
      <c r="A16" s="4" t="s">
        <v>1077</v>
      </c>
      <c r="B16" s="5">
        <v>24431017</v>
      </c>
      <c r="C16" s="2">
        <v>20898207</v>
      </c>
      <c r="D16" s="5">
        <v>8334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82DB3-6865-46D4-86BC-913DEF50DB71}">
  <dimension ref="A3:D10"/>
  <sheetViews>
    <sheetView workbookViewId="0">
      <selection activeCell="B25" sqref="B25"/>
    </sheetView>
  </sheetViews>
  <sheetFormatPr defaultRowHeight="14.4" x14ac:dyDescent="0.3"/>
  <cols>
    <col min="1" max="1" width="12.5546875" bestFit="1" customWidth="1"/>
    <col min="2" max="2" width="17.44140625" bestFit="1" customWidth="1"/>
    <col min="3" max="3" width="16.5546875" bestFit="1" customWidth="1"/>
    <col min="4" max="4" width="14.77734375" bestFit="1" customWidth="1"/>
  </cols>
  <sheetData>
    <row r="3" spans="1:4" x14ac:dyDescent="0.3">
      <c r="A3" s="3" t="s">
        <v>1076</v>
      </c>
      <c r="B3" t="s">
        <v>1079</v>
      </c>
      <c r="C3" t="s">
        <v>1087</v>
      </c>
      <c r="D3" t="s">
        <v>1086</v>
      </c>
    </row>
    <row r="4" spans="1:4" x14ac:dyDescent="0.3">
      <c r="A4" s="4" t="s">
        <v>26</v>
      </c>
      <c r="B4" s="5">
        <v>2520</v>
      </c>
      <c r="C4" s="5">
        <v>1268</v>
      </c>
      <c r="D4" s="2">
        <v>6304899.5</v>
      </c>
    </row>
    <row r="5" spans="1:4" x14ac:dyDescent="0.3">
      <c r="A5" s="4" t="s">
        <v>47</v>
      </c>
      <c r="B5" s="5">
        <v>2970</v>
      </c>
      <c r="C5" s="5">
        <v>1514</v>
      </c>
      <c r="D5" s="2">
        <v>5898959.5</v>
      </c>
    </row>
    <row r="6" spans="1:4" x14ac:dyDescent="0.3">
      <c r="A6" s="4" t="s">
        <v>31</v>
      </c>
      <c r="B6" s="5">
        <v>2240</v>
      </c>
      <c r="C6" s="5">
        <v>1239</v>
      </c>
      <c r="D6" s="2">
        <v>3088016</v>
      </c>
    </row>
    <row r="7" spans="1:4" x14ac:dyDescent="0.3">
      <c r="A7" s="4" t="s">
        <v>21</v>
      </c>
      <c r="B7" s="5">
        <v>2490</v>
      </c>
      <c r="C7" s="5">
        <v>1372</v>
      </c>
      <c r="D7" s="2">
        <v>2144798</v>
      </c>
    </row>
    <row r="8" spans="1:4" x14ac:dyDescent="0.3">
      <c r="A8" s="4" t="s">
        <v>16</v>
      </c>
      <c r="B8" s="5">
        <v>2935</v>
      </c>
      <c r="C8" s="5">
        <v>1685</v>
      </c>
      <c r="D8" s="2">
        <v>2064119</v>
      </c>
    </row>
    <row r="9" spans="1:4" x14ac:dyDescent="0.3">
      <c r="A9" s="4" t="s">
        <v>60</v>
      </c>
      <c r="B9" s="5">
        <v>2285</v>
      </c>
      <c r="C9" s="5">
        <v>1256</v>
      </c>
      <c r="D9" s="2">
        <v>1397415</v>
      </c>
    </row>
    <row r="10" spans="1:4" x14ac:dyDescent="0.3">
      <c r="A10" s="4" t="s">
        <v>1077</v>
      </c>
      <c r="B10" s="5">
        <v>15440</v>
      </c>
      <c r="C10" s="5">
        <v>8334</v>
      </c>
      <c r="D10" s="2">
        <v>20898207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SalesData</vt:lpstr>
      <vt:lpstr>DashBoard</vt:lpstr>
      <vt:lpstr>Pivot_city</vt:lpstr>
      <vt:lpstr>Pivot_month_year</vt:lpstr>
      <vt:lpstr>Pivots_sales rep_Performance</vt:lpstr>
      <vt:lpstr>Pivot_category_profit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devesh singh</cp:lastModifiedBy>
  <dcterms:created xsi:type="dcterms:W3CDTF">2026-07-07T04:17:52Z</dcterms:created>
  <dcterms:modified xsi:type="dcterms:W3CDTF">2026-07-07T04:46:23Z</dcterms:modified>
</cp:coreProperties>
</file>